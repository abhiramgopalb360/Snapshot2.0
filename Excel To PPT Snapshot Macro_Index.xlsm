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drawings/drawing18.xml" ContentType="application/vnd.openxmlformats-officedocument.drawing+xml"/>
  <Override PartName="/xl/charts/chart18.xml" ContentType="application/vnd.openxmlformats-officedocument.drawingml.chart+xml"/>
  <Override PartName="/xl/drawings/drawing19.xml" ContentType="application/vnd.openxmlformats-officedocument.drawing+xml"/>
  <Override PartName="/xl/charts/chart19.xml" ContentType="application/vnd.openxmlformats-officedocument.drawingml.chart+xml"/>
  <Override PartName="/xl/drawings/drawing20.xml" ContentType="application/vnd.openxmlformats-officedocument.drawing+xml"/>
  <Override PartName="/xl/charts/chart20.xml" ContentType="application/vnd.openxmlformats-officedocument.drawingml.chart+xml"/>
  <Override PartName="/xl/drawings/drawing21.xml" ContentType="application/vnd.openxmlformats-officedocument.drawing+xml"/>
  <Override PartName="/xl/charts/chart21.xml" ContentType="application/vnd.openxmlformats-officedocument.drawingml.chart+xml"/>
  <Override PartName="/xl/drawings/drawing22.xml" ContentType="application/vnd.openxmlformats-officedocument.drawing+xml"/>
  <Override PartName="/xl/charts/chart22.xml" ContentType="application/vnd.openxmlformats-officedocument.drawingml.chart+xml"/>
  <Override PartName="/xl/drawings/drawing23.xml" ContentType="application/vnd.openxmlformats-officedocument.drawing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E:\Chris\ADT\Analysis\"/>
    </mc:Choice>
  </mc:AlternateContent>
  <xr:revisionPtr revIDLastSave="0" documentId="13_ncr:1_{2E57726B-6A5D-4295-ABE7-E6D700DB85D0}" xr6:coauthVersionLast="47" xr6:coauthVersionMax="47" xr10:uidLastSave="{00000000-0000-0000-0000-000000000000}"/>
  <bookViews>
    <workbookView xWindow="-120" yWindow="-120" windowWidth="23280" windowHeight="11265" xr2:uid="{00000000-000D-0000-FFFF-FFFF00000000}"/>
  </bookViews>
  <sheets>
    <sheet name="Sheet1" sheetId="1" r:id="rId1"/>
    <sheet name="Sheet2" sheetId="2" r:id="rId2"/>
    <sheet name="Sheet3" sheetId="3" r:id="rId3"/>
    <sheet name="Sheet4" sheetId="24" r:id="rId4"/>
    <sheet name="Sheet5" sheetId="4" r:id="rId5"/>
    <sheet name="Sheet6" sheetId="5" r:id="rId6"/>
    <sheet name="Sheet7" sheetId="20" r:id="rId7"/>
    <sheet name="Sheet8" sheetId="21" r:id="rId8"/>
    <sheet name="Sheet9" sheetId="6" r:id="rId9"/>
    <sheet name="Sheet10" sheetId="7" r:id="rId10"/>
    <sheet name="Sheet11" sheetId="8" r:id="rId11"/>
    <sheet name="Sheet12" sheetId="9" r:id="rId12"/>
    <sheet name="Sheet13" sheetId="10" r:id="rId13"/>
    <sheet name="Sheet14" sheetId="11" r:id="rId14"/>
    <sheet name="Sheet15" sheetId="12" r:id="rId15"/>
    <sheet name="Sheet16" sheetId="13" r:id="rId16"/>
    <sheet name="Sheet17" sheetId="14" r:id="rId17"/>
    <sheet name="Sheet18" sheetId="15" r:id="rId18"/>
    <sheet name="Sheet19" sheetId="16" r:id="rId19"/>
    <sheet name="Sheet20" sheetId="25" r:id="rId20"/>
    <sheet name="Sheet21" sheetId="17" r:id="rId21"/>
    <sheet name="Sheet22" sheetId="18" r:id="rId22"/>
    <sheet name="Sheet23" sheetId="19" r:id="rId23"/>
  </sheets>
  <definedNames>
    <definedName name="_xlnm._FilterDatabase" localSheetId="14" hidden="1">Sheet15!$G$1:$J$49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3" i="16" l="1"/>
  <c r="C13" i="16"/>
  <c r="B13" i="16"/>
  <c r="C16" i="12" l="1"/>
  <c r="D16" i="12"/>
  <c r="B16" i="12"/>
  <c r="B17" i="12"/>
  <c r="C17" i="12"/>
  <c r="D17" i="12"/>
  <c r="E17" i="12"/>
  <c r="B18" i="12"/>
  <c r="C18" i="12"/>
  <c r="D18" i="12"/>
  <c r="E18" i="12"/>
  <c r="B20" i="12"/>
  <c r="C20" i="12"/>
  <c r="D20" i="12"/>
  <c r="E20" i="12"/>
  <c r="B21" i="12"/>
  <c r="C21" i="12"/>
  <c r="D21" i="12"/>
  <c r="E21" i="12"/>
  <c r="B22" i="12"/>
  <c r="C22" i="12"/>
  <c r="D22" i="12"/>
  <c r="E22" i="12"/>
  <c r="B23" i="12"/>
  <c r="C23" i="12"/>
  <c r="D23" i="12"/>
  <c r="E23" i="12"/>
  <c r="B24" i="12"/>
  <c r="C24" i="12"/>
  <c r="D24" i="12"/>
  <c r="E24" i="12"/>
  <c r="B25" i="12"/>
  <c r="C25" i="12"/>
  <c r="D25" i="12"/>
  <c r="E25" i="12"/>
  <c r="B26" i="12"/>
  <c r="C26" i="12"/>
  <c r="D26" i="12"/>
  <c r="E26" i="12"/>
  <c r="B27" i="12"/>
  <c r="C27" i="12"/>
  <c r="D27" i="12"/>
  <c r="E27" i="12"/>
  <c r="B28" i="12"/>
  <c r="C28" i="12"/>
  <c r="D28" i="12"/>
  <c r="E28" i="12"/>
  <c r="B29" i="12"/>
  <c r="C29" i="12"/>
  <c r="D29" i="12"/>
  <c r="E29" i="12"/>
  <c r="B30" i="12"/>
  <c r="C30" i="12"/>
  <c r="D30" i="12"/>
  <c r="E30" i="12"/>
  <c r="B31" i="12"/>
  <c r="C31" i="12"/>
  <c r="D31" i="12"/>
  <c r="E31" i="12"/>
  <c r="B32" i="12"/>
  <c r="C32" i="12"/>
  <c r="D32" i="12"/>
  <c r="E32" i="12"/>
  <c r="D12" i="17" l="1"/>
  <c r="C12" i="17"/>
  <c r="B12" i="17"/>
</calcChain>
</file>

<file path=xl/sharedStrings.xml><?xml version="1.0" encoding="utf-8"?>
<sst xmlns="http://schemas.openxmlformats.org/spreadsheetml/2006/main" count="244" uniqueCount="125">
  <si>
    <t>Size of the Yellow Page Ad</t>
  </si>
  <si>
    <t>2.5 Year Active Customers</t>
  </si>
  <si>
    <t>2.5 Year Inactive Customers</t>
  </si>
  <si>
    <t>Index</t>
  </si>
  <si>
    <t>Regular</t>
  </si>
  <si>
    <t>Display Ad</t>
  </si>
  <si>
    <t>In-column</t>
  </si>
  <si>
    <t>Bold</t>
  </si>
  <si>
    <t>Unknown</t>
  </si>
  <si>
    <t>Corporate Email Available</t>
  </si>
  <si>
    <t>No</t>
  </si>
  <si>
    <t>Yes</t>
  </si>
  <si>
    <t>Employee Size - Total</t>
  </si>
  <si>
    <t>(N/A)</t>
  </si>
  <si>
    <t>1-4</t>
  </si>
  <si>
    <t>5-9</t>
  </si>
  <si>
    <t>10-19</t>
  </si>
  <si>
    <t>20-49</t>
  </si>
  <si>
    <t>50-99</t>
  </si>
  <si>
    <t>100-249</t>
  </si>
  <si>
    <t>250-499</t>
  </si>
  <si>
    <t>500-999</t>
  </si>
  <si>
    <t>1,000-4,999</t>
  </si>
  <si>
    <t>5000+</t>
  </si>
  <si>
    <t>Employee Sales Volume - Total</t>
  </si>
  <si>
    <t>500K</t>
  </si>
  <si>
    <t>500K-1M</t>
  </si>
  <si>
    <t>1M-2M</t>
  </si>
  <si>
    <t>2M-5M</t>
  </si>
  <si>
    <t>5M-10M</t>
  </si>
  <si>
    <t>10M-20M</t>
  </si>
  <si>
    <t>20M-50M</t>
  </si>
  <si>
    <t>50M-100M</t>
  </si>
  <si>
    <t>100M+</t>
  </si>
  <si>
    <t>Corporation Type</t>
  </si>
  <si>
    <t>Random Sample</t>
  </si>
  <si>
    <t>Cooperative</t>
  </si>
  <si>
    <t>Government</t>
  </si>
  <si>
    <t>Incorporated</t>
  </si>
  <si>
    <t>LLC or LLP</t>
  </si>
  <si>
    <t>Non Profit</t>
  </si>
  <si>
    <t>Partnership</t>
  </si>
  <si>
    <t>Single Proprietorship</t>
  </si>
  <si>
    <t>Assumed to be Single Proprietorship</t>
  </si>
  <si>
    <t>Profession Corporation</t>
  </si>
  <si>
    <t>Assumed to be a Corporation</t>
  </si>
  <si>
    <t>Email Verification</t>
  </si>
  <si>
    <t>Accept All</t>
  </si>
  <si>
    <t>Verified</t>
  </si>
  <si>
    <t>Estimated Cash</t>
  </si>
  <si>
    <t>Less than $250K</t>
  </si>
  <si>
    <t>$250K - $499,999</t>
  </si>
  <si>
    <t>$500K - $999,999</t>
  </si>
  <si>
    <t>$1M - $2,499,999</t>
  </si>
  <si>
    <t>$2.5M - $4,999,999</t>
  </si>
  <si>
    <t>$5M - $9,999,999</t>
  </si>
  <si>
    <t>$10M+</t>
  </si>
  <si>
    <t>Estimated Total Assets</t>
  </si>
  <si>
    <t>Ethnic Owned Business</t>
  </si>
  <si>
    <t>Financial Worthiness</t>
  </si>
  <si>
    <t>Excellent</t>
  </si>
  <si>
    <t>Very Good</t>
  </si>
  <si>
    <t>Good</t>
  </si>
  <si>
    <t>Institution/Government</t>
  </si>
  <si>
    <t>Gender of Contact</t>
  </si>
  <si>
    <t>Female</t>
  </si>
  <si>
    <t>Male</t>
  </si>
  <si>
    <t>Home Office</t>
  </si>
  <si>
    <t>Employee Size - Location</t>
  </si>
  <si>
    <t>Sales Volume - Location</t>
  </si>
  <si>
    <t>NAICS Description</t>
  </si>
  <si>
    <t>Advertising Agencies</t>
  </si>
  <si>
    <t>Architectural Services</t>
  </si>
  <si>
    <t>Business Associations</t>
  </si>
  <si>
    <t>Child Day Care Services</t>
  </si>
  <si>
    <t>Colleges Universities And Professional Schools</t>
  </si>
  <si>
    <t>Elementary and Secondary Schools</t>
  </si>
  <si>
    <t>Fitness and Recreational Sports Centers</t>
  </si>
  <si>
    <t>Hotels (Except Casino) and Motels</t>
  </si>
  <si>
    <t>Museums</t>
  </si>
  <si>
    <t>Other Community Housing Services</t>
  </si>
  <si>
    <t>Other Social Advocacy Organizations</t>
  </si>
  <si>
    <t>Public Relations Agencies</t>
  </si>
  <si>
    <t>Religious Organizations</t>
  </si>
  <si>
    <t>(Other)</t>
  </si>
  <si>
    <t>Other Amusement and Recreation Industries</t>
  </si>
  <si>
    <t>New Business to the Database</t>
  </si>
  <si>
    <t>Phone Verified</t>
  </si>
  <si>
    <t>Public or Private</t>
  </si>
  <si>
    <t>Public</t>
  </si>
  <si>
    <t>Private</t>
  </si>
  <si>
    <t>SIC2 Description</t>
  </si>
  <si>
    <t>Amusement &amp; Recreation Services</t>
  </si>
  <si>
    <t>Apparel And Accessory Stores</t>
  </si>
  <si>
    <t>Educational Services</t>
  </si>
  <si>
    <t>Engineering &amp; Management Services</t>
  </si>
  <si>
    <t>Holding And Other Investment Offices</t>
  </si>
  <si>
    <t>Hotels And Other Lodging Places</t>
  </si>
  <si>
    <t>Membership Organizations</t>
  </si>
  <si>
    <t>Museums Botanical Zoological Gardens</t>
  </si>
  <si>
    <t>Social Services</t>
  </si>
  <si>
    <t>Security And Commodity Brokers</t>
  </si>
  <si>
    <t>Small Office/Home Office</t>
  </si>
  <si>
    <t>Contact Title</t>
  </si>
  <si>
    <t>CFO</t>
  </si>
  <si>
    <t>CONTROLLER</t>
  </si>
  <si>
    <t>COO</t>
  </si>
  <si>
    <t>COORDINATOR</t>
  </si>
  <si>
    <t>CTO</t>
  </si>
  <si>
    <t>DIRECTOR</t>
  </si>
  <si>
    <t>EXECUTIVE DIRECTOR</t>
  </si>
  <si>
    <t>EXECUTIVE VICE PRESIDENT</t>
  </si>
  <si>
    <t>RELIGIOUS LEADER</t>
  </si>
  <si>
    <t>Women Owned Business</t>
  </si>
  <si>
    <t>Years In Business</t>
  </si>
  <si>
    <t>[0,5)</t>
  </si>
  <si>
    <t>[5,9)</t>
  </si>
  <si>
    <t>[9,12)</t>
  </si>
  <si>
    <t>[12,15)</t>
  </si>
  <si>
    <t>[15,19)</t>
  </si>
  <si>
    <t>[19,24)</t>
  </si>
  <si>
    <t>[24,30)</t>
  </si>
  <si>
    <t>[30,41)</t>
  </si>
  <si>
    <t>[41,70)</t>
  </si>
  <si>
    <t>70+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</si>
</sst>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43" formatCode="_(* #,##0.00_);_(* \(#,##0.00\);_(* &quot;-&quot;??_);_(@_)"/>
  </numFmts>
  <fonts count="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">
    <xf numFmtId="0" fontId="0" fillId="0" borderId="0" xfId="0"/>
    <xf numFmtId="9" fontId="0" fillId="0" borderId="0" xfId="0" applyNumberFormat="1"/>
    <xf numFmtId="9" fontId="0" fillId="0" borderId="0" xfId="3" applyFont="1"/>
    <xf numFmtId="9" fontId="0" fillId="0" borderId="0" xfId="1" applyNumberFormat="1" applyFont="1"/>
    <xf numFmtId="9" fontId="0" fillId="0" borderId="0" xfId="2" applyNumberFormat="1" applyFont="1"/>
    <xf numFmtId="9" fontId="0" fillId="0" borderId="0" xfId="2" applyNumberFormat="1" applyFont="1" applyBorder="1"/>
    <xf numFmtId="9" fontId="2" fillId="0" borderId="0" xfId="0" applyNumberFormat="1" applyFont="1"/>
    <xf numFmtId="0" fontId="0" fillId="0" borderId="0" xfId="3" applyNumberFormat="1" applyFont="1"/>
    <xf numFmtId="0" fontId="0" fillId="0" borderId="0" xfId="2" applyNumberFormat="1" applyFont="1"/>
    <xf numFmtId="0" fontId="2" fillId="0" borderId="0" xfId="0" applyFont="1"/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2" defaultPivotStyle="PivotStyleLight16"/>
  <colors>
    <mruColors>
      <color rgb="FFC85A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/>
            </a:pPr>
            <a:r>
              <a:rPr lang="en-US" sz="2000"/>
              <a:t>Size of the Yellow Page Ad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2.5 Year Active Customers</c:v>
                </c:pt>
              </c:strCache>
            </c:strRef>
          </c:tx>
          <c:spPr>
            <a:solidFill>
              <a:srgbClr val="006EBE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Sheet1!$A$2:$A$6</c:f>
              <c:strCache>
                <c:ptCount val="5"/>
                <c:pt idx="0">
                  <c:v>Regular</c:v>
                </c:pt>
                <c:pt idx="1">
                  <c:v>Display Ad</c:v>
                </c:pt>
                <c:pt idx="2">
                  <c:v>In-column</c:v>
                </c:pt>
                <c:pt idx="3">
                  <c:v>Bold</c:v>
                </c:pt>
                <c:pt idx="4">
                  <c:v>Unknown</c:v>
                </c:pt>
              </c:strCache>
            </c:strRef>
          </c:cat>
          <c:val>
            <c:numRef>
              <c:f>Sheet1!$B$2:$B$6</c:f>
              <c:numCache>
                <c:formatCode>0%</c:formatCode>
                <c:ptCount val="5"/>
                <c:pt idx="0">
                  <c:v>0.15606936416184999</c:v>
                </c:pt>
                <c:pt idx="1">
                  <c:v>1.15606936416185E-2</c:v>
                </c:pt>
                <c:pt idx="2">
                  <c:v>5.78034682080925E-3</c:v>
                </c:pt>
                <c:pt idx="3">
                  <c:v>5.78034682080925E-3</c:v>
                </c:pt>
                <c:pt idx="4">
                  <c:v>0.820809248554913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E3-47B1-AE76-ADC3D4883B1D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2.5 Year Inactive Customers</c:v>
                </c:pt>
              </c:strCache>
            </c:strRef>
          </c:tx>
          <c:spPr>
            <a:solidFill>
              <a:srgbClr val="BE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Sheet1!$A$2:$A$6</c:f>
              <c:strCache>
                <c:ptCount val="5"/>
                <c:pt idx="0">
                  <c:v>Regular</c:v>
                </c:pt>
                <c:pt idx="1">
                  <c:v>Display Ad</c:v>
                </c:pt>
                <c:pt idx="2">
                  <c:v>In-column</c:v>
                </c:pt>
                <c:pt idx="3">
                  <c:v>Bold</c:v>
                </c:pt>
                <c:pt idx="4">
                  <c:v>Unknown</c:v>
                </c:pt>
              </c:strCache>
            </c:strRef>
          </c:cat>
          <c:val>
            <c:numRef>
              <c:f>Sheet1!$C$2:$C$6</c:f>
              <c:numCache>
                <c:formatCode>0%</c:formatCode>
                <c:ptCount val="5"/>
                <c:pt idx="0">
                  <c:v>0.133333333333333</c:v>
                </c:pt>
                <c:pt idx="1">
                  <c:v>5.1282051282051299E-3</c:v>
                </c:pt>
                <c:pt idx="2">
                  <c:v>1.02564102564103E-2</c:v>
                </c:pt>
                <c:pt idx="3">
                  <c:v>5.1282051282051299E-3</c:v>
                </c:pt>
                <c:pt idx="4">
                  <c:v>0.84615384615384603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E3-47B1-AE76-ADC3D4883B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2558872"/>
        <c:axId val="562559856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Index</c:v>
                </c:pt>
              </c:strCache>
            </c:strRef>
          </c:tx>
          <c:spPr>
            <a:ln w="25400">
              <a:solidFill>
                <a:srgbClr val="000000"/>
              </a:solidFill>
            </a:ln>
          </c:spPr>
          <c:marker>
            <c:symbol val="none"/>
          </c:marker>
          <c:cat>
            <c:strRef>
              <c:f>Sheet1!$A$2:$A$6</c:f>
              <c:strCache>
                <c:ptCount val="5"/>
                <c:pt idx="0">
                  <c:v>Regular</c:v>
                </c:pt>
                <c:pt idx="1">
                  <c:v>Display Ad</c:v>
                </c:pt>
                <c:pt idx="2">
                  <c:v>In-column</c:v>
                </c:pt>
                <c:pt idx="3">
                  <c:v>Bold</c:v>
                </c:pt>
                <c:pt idx="4">
                  <c:v>Unknown</c:v>
                </c:pt>
              </c:strCache>
            </c:strRef>
          </c:cat>
          <c:val>
            <c:numRef>
              <c:f>Sheet1!$D$2:$D$6</c:f>
              <c:numCache>
                <c:formatCode>General</c:formatCode>
                <c:ptCount val="5"/>
                <c:pt idx="0">
                  <c:v>85.432098765431732</c:v>
                </c:pt>
                <c:pt idx="1">
                  <c:v>44.358974358974365</c:v>
                </c:pt>
                <c:pt idx="2">
                  <c:v>177.43589743589814</c:v>
                </c:pt>
                <c:pt idx="3">
                  <c:v>88.71794871794873</c:v>
                </c:pt>
                <c:pt idx="4">
                  <c:v>103.08775731310944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5E3-47B1-AE76-ADC3D4883B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2559528"/>
        <c:axId val="562561824"/>
      </c:lineChart>
      <c:catAx>
        <c:axId val="562558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2559856"/>
        <c:crosses val="autoZero"/>
        <c:auto val="1"/>
        <c:lblAlgn val="ctr"/>
        <c:lblOffset val="100"/>
        <c:noMultiLvlLbl val="0"/>
      </c:catAx>
      <c:valAx>
        <c:axId val="562559856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%" sourceLinked="1"/>
        <c:majorTickMark val="out"/>
        <c:minorTickMark val="none"/>
        <c:tickLblPos val="nextTo"/>
        <c:crossAx val="562558872"/>
        <c:crosses val="autoZero"/>
        <c:crossBetween val="between"/>
      </c:valAx>
      <c:valAx>
        <c:axId val="5625618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562559528"/>
        <c:crosses val="max"/>
        <c:crossBetween val="between"/>
      </c:valAx>
      <c:catAx>
        <c:axId val="5625595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62561824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/>
            </a:pPr>
            <a:r>
              <a:rPr lang="en-US" sz="2000"/>
              <a:t>Corporate Email Available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6EBE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Sheet2!$A$1:$A$3</c:f>
              <c:strCache>
                <c:ptCount val="3"/>
                <c:pt idx="0">
                  <c:v>Corporate Email Available</c:v>
                </c:pt>
                <c:pt idx="1">
                  <c:v>No</c:v>
                </c:pt>
                <c:pt idx="2">
                  <c:v>Yes</c:v>
                </c:pt>
              </c:strCache>
            </c:strRef>
          </c:cat>
          <c:val>
            <c:numRef>
              <c:f>Sheet2!$B$1:$B$3</c:f>
              <c:numCache>
                <c:formatCode>0%</c:formatCode>
                <c:ptCount val="3"/>
                <c:pt idx="0">
                  <c:v>0</c:v>
                </c:pt>
                <c:pt idx="1">
                  <c:v>0.46820809248554901</c:v>
                </c:pt>
                <c:pt idx="2">
                  <c:v>0.53179190751445105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F9-4CE4-96B5-EDFD466C73B1}"/>
            </c:ext>
          </c:extLst>
        </c:ser>
        <c:ser>
          <c:idx val="1"/>
          <c:order val="1"/>
          <c:spPr>
            <a:solidFill>
              <a:srgbClr val="BE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Sheet2!$A$1:$A$3</c:f>
              <c:strCache>
                <c:ptCount val="3"/>
                <c:pt idx="0">
                  <c:v>Corporate Email Available</c:v>
                </c:pt>
                <c:pt idx="1">
                  <c:v>No</c:v>
                </c:pt>
                <c:pt idx="2">
                  <c:v>Yes</c:v>
                </c:pt>
              </c:strCache>
            </c:strRef>
          </c:cat>
          <c:val>
            <c:numRef>
              <c:f>Sheet2!$C$1:$C$3</c:f>
              <c:numCache>
                <c:formatCode>0%</c:formatCode>
                <c:ptCount val="3"/>
                <c:pt idx="0">
                  <c:v>0</c:v>
                </c:pt>
                <c:pt idx="1">
                  <c:v>0.41025641025641002</c:v>
                </c:pt>
                <c:pt idx="2">
                  <c:v>0.58974358974358998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9F9-4CE4-96B5-EDFD466C73B1}"/>
            </c:ext>
          </c:extLst>
        </c:ser>
        <c:ser>
          <c:idx val="2"/>
          <c:order val="2"/>
          <c:spPr>
            <a:solidFill>
              <a:srgbClr val="785A8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Sheet2!$A$1:$A$3</c:f>
              <c:strCache>
                <c:ptCount val="3"/>
                <c:pt idx="0">
                  <c:v>Corporate Email Available</c:v>
                </c:pt>
                <c:pt idx="1">
                  <c:v>No</c:v>
                </c:pt>
                <c:pt idx="2">
                  <c:v>Yes</c:v>
                </c:pt>
              </c:strCache>
            </c:strRef>
          </c:cat>
          <c:val>
            <c:numRef>
              <c:f>Sheet2!$D$1:$D$3</c:f>
              <c:numCache>
                <c:formatCode>General</c:formatCode>
                <c:ptCount val="3"/>
                <c:pt idx="0">
                  <c:v>0</c:v>
                </c:pt>
                <c:pt idx="1">
                  <c:v>87.622665400443154</c:v>
                </c:pt>
                <c:pt idx="2">
                  <c:v>110.8974358974359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9F9-4CE4-96B5-EDFD466C73B1}"/>
            </c:ext>
          </c:extLst>
        </c:ser>
        <c:ser>
          <c:idx val="3"/>
          <c:order val="3"/>
          <c:invertIfNegative val="0"/>
          <c:cat>
            <c:strRef>
              <c:f>Sheet2!$A$1:$A$3</c:f>
              <c:strCache>
                <c:ptCount val="3"/>
                <c:pt idx="0">
                  <c:v>Corporate Email Available</c:v>
                </c:pt>
                <c:pt idx="1">
                  <c:v>No</c:v>
                </c:pt>
                <c:pt idx="2">
                  <c:v>Yes</c:v>
                </c:pt>
              </c:strCache>
            </c:strRef>
          </c:cat>
          <c:val>
            <c:numRef>
              <c:f>Sheet2!$E$1:$E$3</c:f>
              <c:numCache>
                <c:formatCode>0%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4-39F9-4CE4-96B5-EDFD466C73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2508360"/>
        <c:axId val="562509016"/>
      </c:barChart>
      <c:catAx>
        <c:axId val="562508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2509016"/>
        <c:crosses val="autoZero"/>
        <c:auto val="1"/>
        <c:lblAlgn val="ctr"/>
        <c:lblOffset val="100"/>
        <c:noMultiLvlLbl val="0"/>
      </c:catAx>
      <c:valAx>
        <c:axId val="562509016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%" sourceLinked="1"/>
        <c:majorTickMark val="out"/>
        <c:minorTickMark val="none"/>
        <c:tickLblPos val="nextTo"/>
        <c:crossAx val="562508360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/>
            </a:pPr>
            <a:r>
              <a:rPr lang="en-US" sz="2000"/>
              <a:t>Employee Size - Total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6EBE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Sheet3!$A$1:$A$12</c:f>
              <c:strCache>
                <c:ptCount val="12"/>
                <c:pt idx="0">
                  <c:v>Employee Size - Total</c:v>
                </c:pt>
                <c:pt idx="1">
                  <c:v>(N/A)</c:v>
                </c:pt>
                <c:pt idx="2">
                  <c:v>1-4</c:v>
                </c:pt>
                <c:pt idx="3">
                  <c:v>5-9</c:v>
                </c:pt>
                <c:pt idx="4">
                  <c:v>10-19</c:v>
                </c:pt>
                <c:pt idx="5">
                  <c:v>20-49</c:v>
                </c:pt>
                <c:pt idx="6">
                  <c:v>50-99</c:v>
                </c:pt>
                <c:pt idx="7">
                  <c:v>100-249</c:v>
                </c:pt>
                <c:pt idx="8">
                  <c:v>250-499</c:v>
                </c:pt>
                <c:pt idx="9">
                  <c:v>500-999</c:v>
                </c:pt>
                <c:pt idx="10">
                  <c:v>1,000-4,999</c:v>
                </c:pt>
                <c:pt idx="11">
                  <c:v>5000+</c:v>
                </c:pt>
              </c:strCache>
            </c:strRef>
          </c:cat>
          <c:val>
            <c:numRef>
              <c:f>Sheet3!$B$1:$B$12</c:f>
              <c:numCache>
                <c:formatCode>0%</c:formatCode>
                <c:ptCount val="12"/>
                <c:pt idx="0">
                  <c:v>0</c:v>
                </c:pt>
                <c:pt idx="1">
                  <c:v>0.309248554913295</c:v>
                </c:pt>
                <c:pt idx="2">
                  <c:v>0.280346820809249</c:v>
                </c:pt>
                <c:pt idx="3">
                  <c:v>0.10115606936416199</c:v>
                </c:pt>
                <c:pt idx="4">
                  <c:v>4.0462427745664699E-2</c:v>
                </c:pt>
                <c:pt idx="5">
                  <c:v>9.5375722543352595E-2</c:v>
                </c:pt>
                <c:pt idx="6">
                  <c:v>5.4913294797687903E-2</c:v>
                </c:pt>
                <c:pt idx="7">
                  <c:v>4.0462427745664699E-2</c:v>
                </c:pt>
                <c:pt idx="8">
                  <c:v>3.4682080924855502E-2</c:v>
                </c:pt>
                <c:pt idx="9">
                  <c:v>1.44508670520231E-2</c:v>
                </c:pt>
                <c:pt idx="10">
                  <c:v>5.78034682080925E-3</c:v>
                </c:pt>
                <c:pt idx="11">
                  <c:v>2.3121387283237E-2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9BD-46AD-A372-110D39442638}"/>
            </c:ext>
          </c:extLst>
        </c:ser>
        <c:ser>
          <c:idx val="1"/>
          <c:order val="1"/>
          <c:spPr>
            <a:solidFill>
              <a:srgbClr val="BE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Sheet3!$A$1:$A$12</c:f>
              <c:strCache>
                <c:ptCount val="12"/>
                <c:pt idx="0">
                  <c:v>Employee Size - Total</c:v>
                </c:pt>
                <c:pt idx="1">
                  <c:v>(N/A)</c:v>
                </c:pt>
                <c:pt idx="2">
                  <c:v>1-4</c:v>
                </c:pt>
                <c:pt idx="3">
                  <c:v>5-9</c:v>
                </c:pt>
                <c:pt idx="4">
                  <c:v>10-19</c:v>
                </c:pt>
                <c:pt idx="5">
                  <c:v>20-49</c:v>
                </c:pt>
                <c:pt idx="6">
                  <c:v>50-99</c:v>
                </c:pt>
                <c:pt idx="7">
                  <c:v>100-249</c:v>
                </c:pt>
                <c:pt idx="8">
                  <c:v>250-499</c:v>
                </c:pt>
                <c:pt idx="9">
                  <c:v>500-999</c:v>
                </c:pt>
                <c:pt idx="10">
                  <c:v>1,000-4,999</c:v>
                </c:pt>
                <c:pt idx="11">
                  <c:v>5000+</c:v>
                </c:pt>
              </c:strCache>
            </c:strRef>
          </c:cat>
          <c:val>
            <c:numRef>
              <c:f>Sheet3!$C$1:$C$12</c:f>
              <c:numCache>
                <c:formatCode>0%</c:formatCode>
                <c:ptCount val="12"/>
                <c:pt idx="0">
                  <c:v>0</c:v>
                </c:pt>
                <c:pt idx="1">
                  <c:v>0.33846153846153798</c:v>
                </c:pt>
                <c:pt idx="2">
                  <c:v>0.22051282051282101</c:v>
                </c:pt>
                <c:pt idx="3">
                  <c:v>0.107692307692308</c:v>
                </c:pt>
                <c:pt idx="4">
                  <c:v>6.15384615384615E-2</c:v>
                </c:pt>
                <c:pt idx="5">
                  <c:v>6.6666666666666693E-2</c:v>
                </c:pt>
                <c:pt idx="6">
                  <c:v>8.2051282051282107E-2</c:v>
                </c:pt>
                <c:pt idx="7">
                  <c:v>2.0512820512820499E-2</c:v>
                </c:pt>
                <c:pt idx="8">
                  <c:v>3.0769230769230799E-2</c:v>
                </c:pt>
                <c:pt idx="9">
                  <c:v>3.0769230769230799E-2</c:v>
                </c:pt>
                <c:pt idx="10">
                  <c:v>0</c:v>
                </c:pt>
                <c:pt idx="11">
                  <c:v>4.1025641025640998E-2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9BD-46AD-A372-110D39442638}"/>
            </c:ext>
          </c:extLst>
        </c:ser>
        <c:ser>
          <c:idx val="2"/>
          <c:order val="2"/>
          <c:spPr>
            <a:solidFill>
              <a:srgbClr val="785A8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Sheet3!$A$1:$A$12</c:f>
              <c:strCache>
                <c:ptCount val="12"/>
                <c:pt idx="0">
                  <c:v>Employee Size - Total</c:v>
                </c:pt>
                <c:pt idx="1">
                  <c:v>(N/A)</c:v>
                </c:pt>
                <c:pt idx="2">
                  <c:v>1-4</c:v>
                </c:pt>
                <c:pt idx="3">
                  <c:v>5-9</c:v>
                </c:pt>
                <c:pt idx="4">
                  <c:v>10-19</c:v>
                </c:pt>
                <c:pt idx="5">
                  <c:v>20-49</c:v>
                </c:pt>
                <c:pt idx="6">
                  <c:v>50-99</c:v>
                </c:pt>
                <c:pt idx="7">
                  <c:v>100-249</c:v>
                </c:pt>
                <c:pt idx="8">
                  <c:v>250-499</c:v>
                </c:pt>
                <c:pt idx="9">
                  <c:v>500-999</c:v>
                </c:pt>
                <c:pt idx="10">
                  <c:v>1,000-4,999</c:v>
                </c:pt>
                <c:pt idx="11">
                  <c:v>5000+</c:v>
                </c:pt>
              </c:strCache>
            </c:strRef>
          </c:cat>
          <c:val>
            <c:numRef>
              <c:f>Sheet3!$D$1:$D$12</c:f>
              <c:numCache>
                <c:formatCode>General</c:formatCode>
                <c:ptCount val="12"/>
                <c:pt idx="0">
                  <c:v>0</c:v>
                </c:pt>
                <c:pt idx="1">
                  <c:v>109.446441409058</c:v>
                </c:pt>
                <c:pt idx="2">
                  <c:v>78.657150409727777</c:v>
                </c:pt>
                <c:pt idx="3">
                  <c:v>106.46153846153861</c:v>
                </c:pt>
                <c:pt idx="4">
                  <c:v>152.08791208791214</c:v>
                </c:pt>
                <c:pt idx="5">
                  <c:v>69.898989898989925</c:v>
                </c:pt>
                <c:pt idx="6">
                  <c:v>149.4197031039136</c:v>
                </c:pt>
                <c:pt idx="7">
                  <c:v>50.695970695970715</c:v>
                </c:pt>
                <c:pt idx="8">
                  <c:v>88.717948717948786</c:v>
                </c:pt>
                <c:pt idx="9">
                  <c:v>212.92307692307745</c:v>
                </c:pt>
                <c:pt idx="10">
                  <c:v>0</c:v>
                </c:pt>
                <c:pt idx="11">
                  <c:v>177.43589743589726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9BD-46AD-A372-110D39442638}"/>
            </c:ext>
          </c:extLst>
        </c:ser>
        <c:ser>
          <c:idx val="3"/>
          <c:order val="3"/>
          <c:invertIfNegative val="0"/>
          <c:cat>
            <c:strRef>
              <c:f>Sheet3!$A$1:$A$12</c:f>
              <c:strCache>
                <c:ptCount val="12"/>
                <c:pt idx="0">
                  <c:v>Employee Size - Total</c:v>
                </c:pt>
                <c:pt idx="1">
                  <c:v>(N/A)</c:v>
                </c:pt>
                <c:pt idx="2">
                  <c:v>1-4</c:v>
                </c:pt>
                <c:pt idx="3">
                  <c:v>5-9</c:v>
                </c:pt>
                <c:pt idx="4">
                  <c:v>10-19</c:v>
                </c:pt>
                <c:pt idx="5">
                  <c:v>20-49</c:v>
                </c:pt>
                <c:pt idx="6">
                  <c:v>50-99</c:v>
                </c:pt>
                <c:pt idx="7">
                  <c:v>100-249</c:v>
                </c:pt>
                <c:pt idx="8">
                  <c:v>250-499</c:v>
                </c:pt>
                <c:pt idx="9">
                  <c:v>500-999</c:v>
                </c:pt>
                <c:pt idx="10">
                  <c:v>1,000-4,999</c:v>
                </c:pt>
                <c:pt idx="11">
                  <c:v>5000+</c:v>
                </c:pt>
              </c:strCache>
            </c:strRef>
          </c:cat>
          <c:val>
            <c:numRef>
              <c:f>Sheet3!$E$1:$E$12</c:f>
              <c:numCache>
                <c:formatCode>0%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6-79BD-46AD-A372-110D394426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2563136"/>
        <c:axId val="562563464"/>
      </c:barChart>
      <c:catAx>
        <c:axId val="562563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2563464"/>
        <c:crosses val="autoZero"/>
        <c:auto val="1"/>
        <c:lblAlgn val="ctr"/>
        <c:lblOffset val="100"/>
        <c:noMultiLvlLbl val="0"/>
      </c:catAx>
      <c:valAx>
        <c:axId val="56256346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%" sourceLinked="1"/>
        <c:majorTickMark val="out"/>
        <c:minorTickMark val="none"/>
        <c:tickLblPos val="nextTo"/>
        <c:crossAx val="562563136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/>
            </a:pPr>
            <a:r>
              <a:rPr lang="en-US" sz="2000"/>
              <a:t>Employee Sales Volume - Total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6EBE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Sheet4!$A$1:$A$11</c:f>
              <c:strCache>
                <c:ptCount val="11"/>
                <c:pt idx="0">
                  <c:v>Employee Sales Volume - Total</c:v>
                </c:pt>
                <c:pt idx="1">
                  <c:v>(N/A)</c:v>
                </c:pt>
                <c:pt idx="2">
                  <c:v>500K</c:v>
                </c:pt>
                <c:pt idx="3">
                  <c:v>500K-1M</c:v>
                </c:pt>
                <c:pt idx="4">
                  <c:v>1M-2M</c:v>
                </c:pt>
                <c:pt idx="5">
                  <c:v>2M-5M</c:v>
                </c:pt>
                <c:pt idx="6">
                  <c:v>5M-10M</c:v>
                </c:pt>
                <c:pt idx="7">
                  <c:v>10M-20M</c:v>
                </c:pt>
                <c:pt idx="8">
                  <c:v>20M-50M</c:v>
                </c:pt>
                <c:pt idx="9">
                  <c:v>50M-100M</c:v>
                </c:pt>
                <c:pt idx="10">
                  <c:v>100M+</c:v>
                </c:pt>
              </c:strCache>
            </c:strRef>
          </c:cat>
          <c:val>
            <c:numRef>
              <c:f>Sheet4!$B$1:$B$11</c:f>
              <c:numCache>
                <c:formatCode>0%</c:formatCode>
                <c:ptCount val="11"/>
                <c:pt idx="0">
                  <c:v>0</c:v>
                </c:pt>
                <c:pt idx="1">
                  <c:v>0.410404624277457</c:v>
                </c:pt>
                <c:pt idx="2">
                  <c:v>0.245664739884393</c:v>
                </c:pt>
                <c:pt idx="3">
                  <c:v>7.2254335260115599E-2</c:v>
                </c:pt>
                <c:pt idx="4">
                  <c:v>4.6242774566474E-2</c:v>
                </c:pt>
                <c:pt idx="5">
                  <c:v>7.2254335260115599E-2</c:v>
                </c:pt>
                <c:pt idx="6">
                  <c:v>2.3121387283237E-2</c:v>
                </c:pt>
                <c:pt idx="7">
                  <c:v>3.7572254335260097E-2</c:v>
                </c:pt>
                <c:pt idx="8">
                  <c:v>5.2023121387283197E-2</c:v>
                </c:pt>
                <c:pt idx="9">
                  <c:v>1.7341040462427699E-2</c:v>
                </c:pt>
                <c:pt idx="10">
                  <c:v>2.3121387283237E-2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468-43FC-98A7-59F429F8664C}"/>
            </c:ext>
          </c:extLst>
        </c:ser>
        <c:ser>
          <c:idx val="1"/>
          <c:order val="1"/>
          <c:spPr>
            <a:solidFill>
              <a:srgbClr val="BE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Sheet4!$A$1:$A$11</c:f>
              <c:strCache>
                <c:ptCount val="11"/>
                <c:pt idx="0">
                  <c:v>Employee Sales Volume - Total</c:v>
                </c:pt>
                <c:pt idx="1">
                  <c:v>(N/A)</c:v>
                </c:pt>
                <c:pt idx="2">
                  <c:v>500K</c:v>
                </c:pt>
                <c:pt idx="3">
                  <c:v>500K-1M</c:v>
                </c:pt>
                <c:pt idx="4">
                  <c:v>1M-2M</c:v>
                </c:pt>
                <c:pt idx="5">
                  <c:v>2M-5M</c:v>
                </c:pt>
                <c:pt idx="6">
                  <c:v>5M-10M</c:v>
                </c:pt>
                <c:pt idx="7">
                  <c:v>10M-20M</c:v>
                </c:pt>
                <c:pt idx="8">
                  <c:v>20M-50M</c:v>
                </c:pt>
                <c:pt idx="9">
                  <c:v>50M-100M</c:v>
                </c:pt>
                <c:pt idx="10">
                  <c:v>100M+</c:v>
                </c:pt>
              </c:strCache>
            </c:strRef>
          </c:cat>
          <c:val>
            <c:numRef>
              <c:f>Sheet4!$C$1:$C$11</c:f>
              <c:numCache>
                <c:formatCode>0%</c:formatCode>
                <c:ptCount val="11"/>
                <c:pt idx="0">
                  <c:v>0</c:v>
                </c:pt>
                <c:pt idx="1">
                  <c:v>0.46153846153846201</c:v>
                </c:pt>
                <c:pt idx="2">
                  <c:v>0.22564102564102601</c:v>
                </c:pt>
                <c:pt idx="3">
                  <c:v>3.5897435897435902E-2</c:v>
                </c:pt>
                <c:pt idx="4">
                  <c:v>3.0769230769230799E-2</c:v>
                </c:pt>
                <c:pt idx="5">
                  <c:v>9.2307692307692299E-2</c:v>
                </c:pt>
                <c:pt idx="6">
                  <c:v>3.0769230769230799E-2</c:v>
                </c:pt>
                <c:pt idx="7">
                  <c:v>3.5897435897435902E-2</c:v>
                </c:pt>
                <c:pt idx="8">
                  <c:v>4.6153846153846198E-2</c:v>
                </c:pt>
                <c:pt idx="9">
                  <c:v>2.0512820512820499E-2</c:v>
                </c:pt>
                <c:pt idx="10">
                  <c:v>2.0512820512820499E-2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68-43FC-98A7-59F429F8664C}"/>
            </c:ext>
          </c:extLst>
        </c:ser>
        <c:ser>
          <c:idx val="2"/>
          <c:order val="2"/>
          <c:spPr>
            <a:solidFill>
              <a:srgbClr val="785A8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Sheet4!$A$1:$A$11</c:f>
              <c:strCache>
                <c:ptCount val="11"/>
                <c:pt idx="0">
                  <c:v>Employee Sales Volume - Total</c:v>
                </c:pt>
                <c:pt idx="1">
                  <c:v>(N/A)</c:v>
                </c:pt>
                <c:pt idx="2">
                  <c:v>500K</c:v>
                </c:pt>
                <c:pt idx="3">
                  <c:v>500K-1M</c:v>
                </c:pt>
                <c:pt idx="4">
                  <c:v>1M-2M</c:v>
                </c:pt>
                <c:pt idx="5">
                  <c:v>2M-5M</c:v>
                </c:pt>
                <c:pt idx="6">
                  <c:v>5M-10M</c:v>
                </c:pt>
                <c:pt idx="7">
                  <c:v>10M-20M</c:v>
                </c:pt>
                <c:pt idx="8">
                  <c:v>20M-50M</c:v>
                </c:pt>
                <c:pt idx="9">
                  <c:v>50M-100M</c:v>
                </c:pt>
                <c:pt idx="10">
                  <c:v>100M+</c:v>
                </c:pt>
              </c:strCache>
            </c:strRef>
          </c:cat>
          <c:val>
            <c:numRef>
              <c:f>Sheet4!$D$1:$D$11</c:f>
              <c:numCache>
                <c:formatCode>General</c:formatCode>
                <c:ptCount val="11"/>
                <c:pt idx="0">
                  <c:v>0</c:v>
                </c:pt>
                <c:pt idx="1">
                  <c:v>112.45937161430122</c:v>
                </c:pt>
                <c:pt idx="2">
                  <c:v>91.849170437405903</c:v>
                </c:pt>
                <c:pt idx="3">
                  <c:v>49.68205128205129</c:v>
                </c:pt>
                <c:pt idx="4">
                  <c:v>66.53846153846159</c:v>
                </c:pt>
                <c:pt idx="5">
                  <c:v>127.75384615384615</c:v>
                </c:pt>
                <c:pt idx="6">
                  <c:v>133.07692307692318</c:v>
                </c:pt>
                <c:pt idx="7">
                  <c:v>95.542406311637137</c:v>
                </c:pt>
                <c:pt idx="8">
                  <c:v>88.717948717948872</c:v>
                </c:pt>
                <c:pt idx="9">
                  <c:v>118.29059829059854</c:v>
                </c:pt>
                <c:pt idx="10">
                  <c:v>88.71794871794863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468-43FC-98A7-59F429F8664C}"/>
            </c:ext>
          </c:extLst>
        </c:ser>
        <c:ser>
          <c:idx val="3"/>
          <c:order val="3"/>
          <c:invertIfNegative val="0"/>
          <c:cat>
            <c:strRef>
              <c:f>Sheet4!$A$1:$A$11</c:f>
              <c:strCache>
                <c:ptCount val="11"/>
                <c:pt idx="0">
                  <c:v>Employee Sales Volume - Total</c:v>
                </c:pt>
                <c:pt idx="1">
                  <c:v>(N/A)</c:v>
                </c:pt>
                <c:pt idx="2">
                  <c:v>500K</c:v>
                </c:pt>
                <c:pt idx="3">
                  <c:v>500K-1M</c:v>
                </c:pt>
                <c:pt idx="4">
                  <c:v>1M-2M</c:v>
                </c:pt>
                <c:pt idx="5">
                  <c:v>2M-5M</c:v>
                </c:pt>
                <c:pt idx="6">
                  <c:v>5M-10M</c:v>
                </c:pt>
                <c:pt idx="7">
                  <c:v>10M-20M</c:v>
                </c:pt>
                <c:pt idx="8">
                  <c:v>20M-50M</c:v>
                </c:pt>
                <c:pt idx="9">
                  <c:v>50M-100M</c:v>
                </c:pt>
                <c:pt idx="10">
                  <c:v>100M+</c:v>
                </c:pt>
              </c:strCache>
            </c:strRef>
          </c:cat>
          <c:val>
            <c:numRef>
              <c:f>Sheet4!$E$1:$E$11</c:f>
              <c:numCache>
                <c:formatCode>0%</c:formatCode>
                <c:ptCount val="11"/>
              </c:numCache>
            </c:numRef>
          </c:val>
          <c:extLst>
            <c:ext xmlns:c16="http://schemas.microsoft.com/office/drawing/2014/chart" uri="{C3380CC4-5D6E-409C-BE32-E72D297353CC}">
              <c16:uniqueId val="{00000006-C468-43FC-98A7-59F429F86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2509344"/>
        <c:axId val="562510656"/>
      </c:barChart>
      <c:catAx>
        <c:axId val="562509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2510656"/>
        <c:crosses val="autoZero"/>
        <c:auto val="1"/>
        <c:lblAlgn val="ctr"/>
        <c:lblOffset val="100"/>
        <c:noMultiLvlLbl val="0"/>
      </c:catAx>
      <c:valAx>
        <c:axId val="562510656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%" sourceLinked="1"/>
        <c:majorTickMark val="out"/>
        <c:minorTickMark val="none"/>
        <c:tickLblPos val="nextTo"/>
        <c:crossAx val="562509344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/>
            </a:pPr>
            <a:r>
              <a:rPr lang="en-US" sz="2000"/>
              <a:t>Corporation Type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6EBE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Sheet5!$A$1:$A$12</c:f>
              <c:strCache>
                <c:ptCount val="12"/>
                <c:pt idx="0">
                  <c:v>Corporation Type</c:v>
                </c:pt>
                <c:pt idx="1">
                  <c:v>(N/A)</c:v>
                </c:pt>
                <c:pt idx="2">
                  <c:v>Cooperative</c:v>
                </c:pt>
                <c:pt idx="3">
                  <c:v>Government</c:v>
                </c:pt>
                <c:pt idx="4">
                  <c:v>Incorporated</c:v>
                </c:pt>
                <c:pt idx="5">
                  <c:v>LLC or LLP</c:v>
                </c:pt>
                <c:pt idx="6">
                  <c:v>Non Profit</c:v>
                </c:pt>
                <c:pt idx="7">
                  <c:v>Partnership</c:v>
                </c:pt>
                <c:pt idx="8">
                  <c:v>Single Proprietorship</c:v>
                </c:pt>
                <c:pt idx="9">
                  <c:v>Assumed to be Single Proprietorship</c:v>
                </c:pt>
                <c:pt idx="10">
                  <c:v>Profession Corporation</c:v>
                </c:pt>
                <c:pt idx="11">
                  <c:v>Assumed to be a Corporation</c:v>
                </c:pt>
              </c:strCache>
            </c:strRef>
          </c:cat>
          <c:val>
            <c:numRef>
              <c:f>Sheet5!$B$1:$B$12</c:f>
              <c:numCache>
                <c:formatCode>0%</c:formatCode>
                <c:ptCount val="12"/>
                <c:pt idx="0">
                  <c:v>0</c:v>
                </c:pt>
                <c:pt idx="1">
                  <c:v>0.31502890173410403</c:v>
                </c:pt>
                <c:pt idx="2">
                  <c:v>0</c:v>
                </c:pt>
                <c:pt idx="3">
                  <c:v>0</c:v>
                </c:pt>
                <c:pt idx="4">
                  <c:v>0.21387283236994201</c:v>
                </c:pt>
                <c:pt idx="5">
                  <c:v>4.6242774566474E-2</c:v>
                </c:pt>
                <c:pt idx="6">
                  <c:v>4.3352601156069398E-2</c:v>
                </c:pt>
                <c:pt idx="7">
                  <c:v>8.6705202312138702E-3</c:v>
                </c:pt>
                <c:pt idx="8">
                  <c:v>6.3583815028901702E-2</c:v>
                </c:pt>
                <c:pt idx="9">
                  <c:v>0.14739884393063599</c:v>
                </c:pt>
                <c:pt idx="10">
                  <c:v>4.9132947976878602E-2</c:v>
                </c:pt>
                <c:pt idx="11">
                  <c:v>0.11271676300578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95-42B6-9B99-40EA02FA382A}"/>
            </c:ext>
          </c:extLst>
        </c:ser>
        <c:ser>
          <c:idx val="1"/>
          <c:order val="1"/>
          <c:spPr>
            <a:solidFill>
              <a:srgbClr val="BE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Sheet5!$A$1:$A$12</c:f>
              <c:strCache>
                <c:ptCount val="12"/>
                <c:pt idx="0">
                  <c:v>Corporation Type</c:v>
                </c:pt>
                <c:pt idx="1">
                  <c:v>(N/A)</c:v>
                </c:pt>
                <c:pt idx="2">
                  <c:v>Cooperative</c:v>
                </c:pt>
                <c:pt idx="3">
                  <c:v>Government</c:v>
                </c:pt>
                <c:pt idx="4">
                  <c:v>Incorporated</c:v>
                </c:pt>
                <c:pt idx="5">
                  <c:v>LLC or LLP</c:v>
                </c:pt>
                <c:pt idx="6">
                  <c:v>Non Profit</c:v>
                </c:pt>
                <c:pt idx="7">
                  <c:v>Partnership</c:v>
                </c:pt>
                <c:pt idx="8">
                  <c:v>Single Proprietorship</c:v>
                </c:pt>
                <c:pt idx="9">
                  <c:v>Assumed to be Single Proprietorship</c:v>
                </c:pt>
                <c:pt idx="10">
                  <c:v>Profession Corporation</c:v>
                </c:pt>
                <c:pt idx="11">
                  <c:v>Assumed to be a Corporation</c:v>
                </c:pt>
              </c:strCache>
            </c:strRef>
          </c:cat>
          <c:val>
            <c:numRef>
              <c:f>Sheet5!$C$1:$C$12</c:f>
              <c:numCache>
                <c:formatCode>0%</c:formatCode>
                <c:ptCount val="12"/>
                <c:pt idx="0">
                  <c:v>0</c:v>
                </c:pt>
                <c:pt idx="1">
                  <c:v>0.27692307692307699</c:v>
                </c:pt>
                <c:pt idx="2">
                  <c:v>0</c:v>
                </c:pt>
                <c:pt idx="3">
                  <c:v>1.02564102564103E-2</c:v>
                </c:pt>
                <c:pt idx="4">
                  <c:v>0.20512820512820501</c:v>
                </c:pt>
                <c:pt idx="5">
                  <c:v>5.1282051282051301E-2</c:v>
                </c:pt>
                <c:pt idx="6">
                  <c:v>3.0769230769230799E-2</c:v>
                </c:pt>
                <c:pt idx="7">
                  <c:v>5.1282051282051299E-3</c:v>
                </c:pt>
                <c:pt idx="8">
                  <c:v>7.1794871794871803E-2</c:v>
                </c:pt>
                <c:pt idx="9">
                  <c:v>0.143589743589744</c:v>
                </c:pt>
                <c:pt idx="10">
                  <c:v>3.5897435897435902E-2</c:v>
                </c:pt>
                <c:pt idx="11">
                  <c:v>0.16923076923076899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295-42B6-9B99-40EA02FA382A}"/>
            </c:ext>
          </c:extLst>
        </c:ser>
        <c:ser>
          <c:idx val="2"/>
          <c:order val="2"/>
          <c:spPr>
            <a:solidFill>
              <a:srgbClr val="785A8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Sheet5!$A$1:$A$12</c:f>
              <c:strCache>
                <c:ptCount val="12"/>
                <c:pt idx="0">
                  <c:v>Corporation Type</c:v>
                </c:pt>
                <c:pt idx="1">
                  <c:v>(N/A)</c:v>
                </c:pt>
                <c:pt idx="2">
                  <c:v>Cooperative</c:v>
                </c:pt>
                <c:pt idx="3">
                  <c:v>Government</c:v>
                </c:pt>
                <c:pt idx="4">
                  <c:v>Incorporated</c:v>
                </c:pt>
                <c:pt idx="5">
                  <c:v>LLC or LLP</c:v>
                </c:pt>
                <c:pt idx="6">
                  <c:v>Non Profit</c:v>
                </c:pt>
                <c:pt idx="7">
                  <c:v>Partnership</c:v>
                </c:pt>
                <c:pt idx="8">
                  <c:v>Single Proprietorship</c:v>
                </c:pt>
                <c:pt idx="9">
                  <c:v>Assumed to be Single Proprietorship</c:v>
                </c:pt>
                <c:pt idx="10">
                  <c:v>Profession Corporation</c:v>
                </c:pt>
                <c:pt idx="11">
                  <c:v>Assumed to be a Corporation</c:v>
                </c:pt>
              </c:strCache>
            </c:strRef>
          </c:cat>
          <c:val>
            <c:numRef>
              <c:f>Sheet5!$D$1:$D$12</c:f>
              <c:numCache>
                <c:formatCode>General</c:formatCode>
                <c:ptCount val="12"/>
                <c:pt idx="0">
                  <c:v>0</c:v>
                </c:pt>
                <c:pt idx="1">
                  <c:v>0.21487500000000001</c:v>
                </c:pt>
                <c:pt idx="2">
                  <c:v>1E-4</c:v>
                </c:pt>
                <c:pt idx="3">
                  <c:v>1.2999999999999999E-2</c:v>
                </c:pt>
                <c:pt idx="4">
                  <c:v>0.23915</c:v>
                </c:pt>
                <c:pt idx="5">
                  <c:v>6.0449999999999997E-2</c:v>
                </c:pt>
                <c:pt idx="6">
                  <c:v>3.5725E-2</c:v>
                </c:pt>
                <c:pt idx="7">
                  <c:v>4.4250000000000001E-3</c:v>
                </c:pt>
                <c:pt idx="8">
                  <c:v>0.112375</c:v>
                </c:pt>
                <c:pt idx="9">
                  <c:v>0.124225</c:v>
                </c:pt>
                <c:pt idx="10">
                  <c:v>5.3350000000000002E-2</c:v>
                </c:pt>
                <c:pt idx="11">
                  <c:v>0.14232500000000001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295-42B6-9B99-40EA02FA382A}"/>
            </c:ext>
          </c:extLst>
        </c:ser>
        <c:ser>
          <c:idx val="3"/>
          <c:order val="3"/>
          <c:invertIfNegative val="0"/>
          <c:cat>
            <c:strRef>
              <c:f>Sheet5!$A$1:$A$12</c:f>
              <c:strCache>
                <c:ptCount val="12"/>
                <c:pt idx="0">
                  <c:v>Corporation Type</c:v>
                </c:pt>
                <c:pt idx="1">
                  <c:v>(N/A)</c:v>
                </c:pt>
                <c:pt idx="2">
                  <c:v>Cooperative</c:v>
                </c:pt>
                <c:pt idx="3">
                  <c:v>Government</c:v>
                </c:pt>
                <c:pt idx="4">
                  <c:v>Incorporated</c:v>
                </c:pt>
                <c:pt idx="5">
                  <c:v>LLC or LLP</c:v>
                </c:pt>
                <c:pt idx="6">
                  <c:v>Non Profit</c:v>
                </c:pt>
                <c:pt idx="7">
                  <c:v>Partnership</c:v>
                </c:pt>
                <c:pt idx="8">
                  <c:v>Single Proprietorship</c:v>
                </c:pt>
                <c:pt idx="9">
                  <c:v>Assumed to be Single Proprietorship</c:v>
                </c:pt>
                <c:pt idx="10">
                  <c:v>Profession Corporation</c:v>
                </c:pt>
                <c:pt idx="11">
                  <c:v>Assumed to be a Corporation</c:v>
                </c:pt>
              </c:strCache>
            </c:strRef>
          </c:cat>
          <c:val>
            <c:numRef>
              <c:f>Sheet5!$E$1:$E$12</c:f>
              <c:numCache>
                <c:formatCode>0%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6-F295-42B6-9B99-40EA02FA3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2516888"/>
        <c:axId val="562524104"/>
      </c:barChart>
      <c:catAx>
        <c:axId val="562516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2524104"/>
        <c:crosses val="autoZero"/>
        <c:auto val="1"/>
        <c:lblAlgn val="ctr"/>
        <c:lblOffset val="100"/>
        <c:noMultiLvlLbl val="0"/>
      </c:catAx>
      <c:valAx>
        <c:axId val="56252410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%" sourceLinked="1"/>
        <c:majorTickMark val="out"/>
        <c:minorTickMark val="none"/>
        <c:tickLblPos val="nextTo"/>
        <c:crossAx val="562516888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/>
            </a:pPr>
            <a:r>
              <a:rPr lang="en-US" sz="2000"/>
              <a:t>Email Verification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6EBE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Sheet6!$A$1:$A$5</c:f>
              <c:strCache>
                <c:ptCount val="5"/>
                <c:pt idx="0">
                  <c:v>Email Verification</c:v>
                </c:pt>
                <c:pt idx="1">
                  <c:v>(N/A)</c:v>
                </c:pt>
                <c:pt idx="2">
                  <c:v>Accept All</c:v>
                </c:pt>
                <c:pt idx="3">
                  <c:v>Unknown</c:v>
                </c:pt>
                <c:pt idx="4">
                  <c:v>Verified</c:v>
                </c:pt>
              </c:strCache>
            </c:strRef>
          </c:cat>
          <c:val>
            <c:numRef>
              <c:f>Sheet6!$B$1:$B$5</c:f>
              <c:numCache>
                <c:formatCode>0%</c:formatCode>
                <c:ptCount val="5"/>
                <c:pt idx="0">
                  <c:v>0</c:v>
                </c:pt>
                <c:pt idx="1">
                  <c:v>0.47109826589595399</c:v>
                </c:pt>
                <c:pt idx="2">
                  <c:v>0.239884393063584</c:v>
                </c:pt>
                <c:pt idx="3">
                  <c:v>6.9364161849711004E-2</c:v>
                </c:pt>
                <c:pt idx="4">
                  <c:v>0.219653179190751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559-4502-A86E-0448332EECF4}"/>
            </c:ext>
          </c:extLst>
        </c:ser>
        <c:ser>
          <c:idx val="1"/>
          <c:order val="1"/>
          <c:spPr>
            <a:solidFill>
              <a:srgbClr val="BE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Sheet6!$A$1:$A$5</c:f>
              <c:strCache>
                <c:ptCount val="5"/>
                <c:pt idx="0">
                  <c:v>Email Verification</c:v>
                </c:pt>
                <c:pt idx="1">
                  <c:v>(N/A)</c:v>
                </c:pt>
                <c:pt idx="2">
                  <c:v>Accept All</c:v>
                </c:pt>
                <c:pt idx="3">
                  <c:v>Unknown</c:v>
                </c:pt>
                <c:pt idx="4">
                  <c:v>Verified</c:v>
                </c:pt>
              </c:strCache>
            </c:strRef>
          </c:cat>
          <c:val>
            <c:numRef>
              <c:f>Sheet6!$C$1:$C$5</c:f>
              <c:numCache>
                <c:formatCode>0%</c:formatCode>
                <c:ptCount val="5"/>
                <c:pt idx="0">
                  <c:v>0</c:v>
                </c:pt>
                <c:pt idx="1">
                  <c:v>0.41025641025641002</c:v>
                </c:pt>
                <c:pt idx="2">
                  <c:v>0.22564102564102601</c:v>
                </c:pt>
                <c:pt idx="3">
                  <c:v>6.15384615384615E-2</c:v>
                </c:pt>
                <c:pt idx="4">
                  <c:v>0.30256410256410299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559-4502-A86E-0448332EECF4}"/>
            </c:ext>
          </c:extLst>
        </c:ser>
        <c:ser>
          <c:idx val="2"/>
          <c:order val="2"/>
          <c:spPr>
            <a:solidFill>
              <a:srgbClr val="785A8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Sheet6!$A$1:$A$5</c:f>
              <c:strCache>
                <c:ptCount val="5"/>
                <c:pt idx="0">
                  <c:v>Email Verification</c:v>
                </c:pt>
                <c:pt idx="1">
                  <c:v>(N/A)</c:v>
                </c:pt>
                <c:pt idx="2">
                  <c:v>Accept All</c:v>
                </c:pt>
                <c:pt idx="3">
                  <c:v>Unknown</c:v>
                </c:pt>
                <c:pt idx="4">
                  <c:v>Verified</c:v>
                </c:pt>
              </c:strCache>
            </c:strRef>
          </c:cat>
          <c:val>
            <c:numRef>
              <c:f>Sheet6!$D$1:$D$5</c:f>
              <c:numCache>
                <c:formatCode>General</c:formatCode>
                <c:ptCount val="5"/>
                <c:pt idx="0">
                  <c:v>0</c:v>
                </c:pt>
                <c:pt idx="1">
                  <c:v>0.57347499999999996</c:v>
                </c:pt>
                <c:pt idx="2">
                  <c:v>0.2402</c:v>
                </c:pt>
                <c:pt idx="3">
                  <c:v>5.1525000000000001E-2</c:v>
                </c:pt>
                <c:pt idx="4">
                  <c:v>0.1348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559-4502-A86E-0448332EECF4}"/>
            </c:ext>
          </c:extLst>
        </c:ser>
        <c:ser>
          <c:idx val="3"/>
          <c:order val="3"/>
          <c:invertIfNegative val="0"/>
          <c:cat>
            <c:strRef>
              <c:f>Sheet6!$A$1:$A$5</c:f>
              <c:strCache>
                <c:ptCount val="5"/>
                <c:pt idx="0">
                  <c:v>Email Verification</c:v>
                </c:pt>
                <c:pt idx="1">
                  <c:v>(N/A)</c:v>
                </c:pt>
                <c:pt idx="2">
                  <c:v>Accept All</c:v>
                </c:pt>
                <c:pt idx="3">
                  <c:v>Unknown</c:v>
                </c:pt>
                <c:pt idx="4">
                  <c:v>Verified</c:v>
                </c:pt>
              </c:strCache>
            </c:strRef>
          </c:cat>
          <c:val>
            <c:numRef>
              <c:f>Sheet6!$E$1:$E$5</c:f>
              <c:numCache>
                <c:formatCode>0%</c:formatCode>
                <c:ptCount val="5"/>
              </c:numCache>
            </c:numRef>
          </c:val>
          <c:extLst>
            <c:ext xmlns:c16="http://schemas.microsoft.com/office/drawing/2014/chart" uri="{C3380CC4-5D6E-409C-BE32-E72D297353CC}">
              <c16:uniqueId val="{00000006-3559-4502-A86E-0448332EEC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2523120"/>
        <c:axId val="562520168"/>
      </c:barChart>
      <c:catAx>
        <c:axId val="562523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2520168"/>
        <c:crosses val="autoZero"/>
        <c:auto val="1"/>
        <c:lblAlgn val="ctr"/>
        <c:lblOffset val="100"/>
        <c:noMultiLvlLbl val="0"/>
      </c:catAx>
      <c:valAx>
        <c:axId val="562520168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%" sourceLinked="1"/>
        <c:majorTickMark val="out"/>
        <c:minorTickMark val="none"/>
        <c:tickLblPos val="nextTo"/>
        <c:crossAx val="562523120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/>
            </a:pPr>
            <a:r>
              <a:rPr lang="en-US" sz="2000"/>
              <a:t>Estimated Cash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6EBE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Sheet7!$A$1:$A$9</c:f>
              <c:strCache>
                <c:ptCount val="9"/>
                <c:pt idx="0">
                  <c:v>Estimated Cash</c:v>
                </c:pt>
                <c:pt idx="1">
                  <c:v>(N/A)</c:v>
                </c:pt>
                <c:pt idx="2">
                  <c:v>Less than $250K</c:v>
                </c:pt>
                <c:pt idx="3">
                  <c:v>$250K - $499,999</c:v>
                </c:pt>
                <c:pt idx="4">
                  <c:v>$500K - $999,999</c:v>
                </c:pt>
                <c:pt idx="5">
                  <c:v>$1M - $2,499,999</c:v>
                </c:pt>
                <c:pt idx="6">
                  <c:v>$2.5M - $4,999,999</c:v>
                </c:pt>
                <c:pt idx="7">
                  <c:v>$5M - $9,999,999</c:v>
                </c:pt>
                <c:pt idx="8">
                  <c:v>$10M+</c:v>
                </c:pt>
              </c:strCache>
            </c:strRef>
          </c:cat>
          <c:val>
            <c:numRef>
              <c:f>Sheet7!$B$1:$B$9</c:f>
              <c:numCache>
                <c:formatCode>0%</c:formatCode>
                <c:ptCount val="9"/>
                <c:pt idx="0">
                  <c:v>0</c:v>
                </c:pt>
                <c:pt idx="1">
                  <c:v>0.560693641618497</c:v>
                </c:pt>
                <c:pt idx="2">
                  <c:v>0.32369942196531798</c:v>
                </c:pt>
                <c:pt idx="3">
                  <c:v>3.17919075144509E-2</c:v>
                </c:pt>
                <c:pt idx="4">
                  <c:v>2.0231213872832401E-2</c:v>
                </c:pt>
                <c:pt idx="5">
                  <c:v>2.8901734104046201E-2</c:v>
                </c:pt>
                <c:pt idx="6">
                  <c:v>5.78034682080925E-3</c:v>
                </c:pt>
                <c:pt idx="7">
                  <c:v>2.3121387283237E-2</c:v>
                </c:pt>
                <c:pt idx="8">
                  <c:v>5.78034682080925E-3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FF1-4EB7-83AC-BBD474ACC3BB}"/>
            </c:ext>
          </c:extLst>
        </c:ser>
        <c:ser>
          <c:idx val="1"/>
          <c:order val="1"/>
          <c:spPr>
            <a:solidFill>
              <a:srgbClr val="BE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Sheet7!$A$1:$A$9</c:f>
              <c:strCache>
                <c:ptCount val="9"/>
                <c:pt idx="0">
                  <c:v>Estimated Cash</c:v>
                </c:pt>
                <c:pt idx="1">
                  <c:v>(N/A)</c:v>
                </c:pt>
                <c:pt idx="2">
                  <c:v>Less than $250K</c:v>
                </c:pt>
                <c:pt idx="3">
                  <c:v>$250K - $499,999</c:v>
                </c:pt>
                <c:pt idx="4">
                  <c:v>$500K - $999,999</c:v>
                </c:pt>
                <c:pt idx="5">
                  <c:v>$1M - $2,499,999</c:v>
                </c:pt>
                <c:pt idx="6">
                  <c:v>$2.5M - $4,999,999</c:v>
                </c:pt>
                <c:pt idx="7">
                  <c:v>$5M - $9,999,999</c:v>
                </c:pt>
                <c:pt idx="8">
                  <c:v>$10M+</c:v>
                </c:pt>
              </c:strCache>
            </c:strRef>
          </c:cat>
          <c:val>
            <c:numRef>
              <c:f>Sheet7!$C$1:$C$9</c:f>
              <c:numCache>
                <c:formatCode>0%</c:formatCode>
                <c:ptCount val="9"/>
                <c:pt idx="0">
                  <c:v>0</c:v>
                </c:pt>
                <c:pt idx="1">
                  <c:v>0.54358974358974399</c:v>
                </c:pt>
                <c:pt idx="2">
                  <c:v>0.30769230769230799</c:v>
                </c:pt>
                <c:pt idx="3">
                  <c:v>4.1025641025640998E-2</c:v>
                </c:pt>
                <c:pt idx="4">
                  <c:v>1.02564102564103E-2</c:v>
                </c:pt>
                <c:pt idx="5">
                  <c:v>5.6410256410256397E-2</c:v>
                </c:pt>
                <c:pt idx="6">
                  <c:v>5.1282051282051299E-3</c:v>
                </c:pt>
                <c:pt idx="7">
                  <c:v>2.0512820512820499E-2</c:v>
                </c:pt>
                <c:pt idx="8">
                  <c:v>1.5384615384615399E-2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FF1-4EB7-83AC-BBD474ACC3BB}"/>
            </c:ext>
          </c:extLst>
        </c:ser>
        <c:ser>
          <c:idx val="2"/>
          <c:order val="2"/>
          <c:spPr>
            <a:solidFill>
              <a:srgbClr val="785A8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Sheet7!$A$1:$A$9</c:f>
              <c:strCache>
                <c:ptCount val="9"/>
                <c:pt idx="0">
                  <c:v>Estimated Cash</c:v>
                </c:pt>
                <c:pt idx="1">
                  <c:v>(N/A)</c:v>
                </c:pt>
                <c:pt idx="2">
                  <c:v>Less than $250K</c:v>
                </c:pt>
                <c:pt idx="3">
                  <c:v>$250K - $499,999</c:v>
                </c:pt>
                <c:pt idx="4">
                  <c:v>$500K - $999,999</c:v>
                </c:pt>
                <c:pt idx="5">
                  <c:v>$1M - $2,499,999</c:v>
                </c:pt>
                <c:pt idx="6">
                  <c:v>$2.5M - $4,999,999</c:v>
                </c:pt>
                <c:pt idx="7">
                  <c:v>$5M - $9,999,999</c:v>
                </c:pt>
                <c:pt idx="8">
                  <c:v>$10M+</c:v>
                </c:pt>
              </c:strCache>
            </c:strRef>
          </c:cat>
          <c:val>
            <c:numRef>
              <c:f>Sheet7!$D$1:$D$9</c:f>
              <c:numCache>
                <c:formatCode>General</c:formatCode>
                <c:ptCount val="9"/>
                <c:pt idx="0">
                  <c:v>0</c:v>
                </c:pt>
                <c:pt idx="1">
                  <c:v>0.55700000000000005</c:v>
                </c:pt>
                <c:pt idx="2">
                  <c:v>0.32847500000000002</c:v>
                </c:pt>
                <c:pt idx="3">
                  <c:v>2.4125000000000001E-2</c:v>
                </c:pt>
                <c:pt idx="4">
                  <c:v>1.9924999999999998E-2</c:v>
                </c:pt>
                <c:pt idx="5">
                  <c:v>2.3224999999999999E-2</c:v>
                </c:pt>
                <c:pt idx="6">
                  <c:v>1.29E-2</c:v>
                </c:pt>
                <c:pt idx="7">
                  <c:v>1.23E-2</c:v>
                </c:pt>
                <c:pt idx="8">
                  <c:v>2.205E-2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FF1-4EB7-83AC-BBD474ACC3BB}"/>
            </c:ext>
          </c:extLst>
        </c:ser>
        <c:ser>
          <c:idx val="3"/>
          <c:order val="3"/>
          <c:invertIfNegative val="0"/>
          <c:cat>
            <c:strRef>
              <c:f>Sheet7!$A$1:$A$9</c:f>
              <c:strCache>
                <c:ptCount val="9"/>
                <c:pt idx="0">
                  <c:v>Estimated Cash</c:v>
                </c:pt>
                <c:pt idx="1">
                  <c:v>(N/A)</c:v>
                </c:pt>
                <c:pt idx="2">
                  <c:v>Less than $250K</c:v>
                </c:pt>
                <c:pt idx="3">
                  <c:v>$250K - $499,999</c:v>
                </c:pt>
                <c:pt idx="4">
                  <c:v>$500K - $999,999</c:v>
                </c:pt>
                <c:pt idx="5">
                  <c:v>$1M - $2,499,999</c:v>
                </c:pt>
                <c:pt idx="6">
                  <c:v>$2.5M - $4,999,999</c:v>
                </c:pt>
                <c:pt idx="7">
                  <c:v>$5M - $9,999,999</c:v>
                </c:pt>
                <c:pt idx="8">
                  <c:v>$10M+</c:v>
                </c:pt>
              </c:strCache>
            </c:strRef>
          </c:cat>
          <c:val>
            <c:numRef>
              <c:f>Sheet7!$E$1:$E$9</c:f>
              <c:numCache>
                <c:formatCode>0%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6-FFF1-4EB7-83AC-BBD474ACC3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2533288"/>
        <c:axId val="562528368"/>
      </c:barChart>
      <c:catAx>
        <c:axId val="562533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2528368"/>
        <c:crosses val="autoZero"/>
        <c:auto val="1"/>
        <c:lblAlgn val="ctr"/>
        <c:lblOffset val="100"/>
        <c:noMultiLvlLbl val="0"/>
      </c:catAx>
      <c:valAx>
        <c:axId val="562528368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%" sourceLinked="1"/>
        <c:majorTickMark val="out"/>
        <c:minorTickMark val="none"/>
        <c:tickLblPos val="nextTo"/>
        <c:crossAx val="562533288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/>
            </a:pPr>
            <a:r>
              <a:rPr lang="en-US" sz="2000"/>
              <a:t>Estimated Total Assets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6EBE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Sheet8!$A$1:$A$9</c:f>
              <c:strCache>
                <c:ptCount val="9"/>
                <c:pt idx="0">
                  <c:v>Estimated Total Assets</c:v>
                </c:pt>
                <c:pt idx="1">
                  <c:v>(N/A)</c:v>
                </c:pt>
                <c:pt idx="2">
                  <c:v>Less than $250K</c:v>
                </c:pt>
                <c:pt idx="3">
                  <c:v>$250K - $499,999</c:v>
                </c:pt>
                <c:pt idx="4">
                  <c:v>$500K - $999,999</c:v>
                </c:pt>
                <c:pt idx="5">
                  <c:v>$1M - $2,499,999</c:v>
                </c:pt>
                <c:pt idx="6">
                  <c:v>$2.5M - $4,999,999</c:v>
                </c:pt>
                <c:pt idx="7">
                  <c:v>$5M - $9,999,999</c:v>
                </c:pt>
                <c:pt idx="8">
                  <c:v>$10M+</c:v>
                </c:pt>
              </c:strCache>
            </c:strRef>
          </c:cat>
          <c:val>
            <c:numRef>
              <c:f>Sheet8!$B$1:$B$9</c:f>
              <c:numCache>
                <c:formatCode>0%</c:formatCode>
                <c:ptCount val="9"/>
                <c:pt idx="0">
                  <c:v>0</c:v>
                </c:pt>
                <c:pt idx="1">
                  <c:v>0.56358381502890198</c:v>
                </c:pt>
                <c:pt idx="2">
                  <c:v>0.23121387283236999</c:v>
                </c:pt>
                <c:pt idx="3">
                  <c:v>2.6011560693641599E-2</c:v>
                </c:pt>
                <c:pt idx="4">
                  <c:v>2.8901734104046201E-2</c:v>
                </c:pt>
                <c:pt idx="5">
                  <c:v>2.3121387283237E-2</c:v>
                </c:pt>
                <c:pt idx="6">
                  <c:v>5.78034682080925E-3</c:v>
                </c:pt>
                <c:pt idx="7">
                  <c:v>2.6011560693641599E-2</c:v>
                </c:pt>
                <c:pt idx="8">
                  <c:v>9.5375722543352595E-2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40-433F-9B1E-E5DAA43F9AB4}"/>
            </c:ext>
          </c:extLst>
        </c:ser>
        <c:ser>
          <c:idx val="1"/>
          <c:order val="1"/>
          <c:spPr>
            <a:solidFill>
              <a:srgbClr val="BE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Sheet8!$A$1:$A$9</c:f>
              <c:strCache>
                <c:ptCount val="9"/>
                <c:pt idx="0">
                  <c:v>Estimated Total Assets</c:v>
                </c:pt>
                <c:pt idx="1">
                  <c:v>(N/A)</c:v>
                </c:pt>
                <c:pt idx="2">
                  <c:v>Less than $250K</c:v>
                </c:pt>
                <c:pt idx="3">
                  <c:v>$250K - $499,999</c:v>
                </c:pt>
                <c:pt idx="4">
                  <c:v>$500K - $999,999</c:v>
                </c:pt>
                <c:pt idx="5">
                  <c:v>$1M - $2,499,999</c:v>
                </c:pt>
                <c:pt idx="6">
                  <c:v>$2.5M - $4,999,999</c:v>
                </c:pt>
                <c:pt idx="7">
                  <c:v>$5M - $9,999,999</c:v>
                </c:pt>
                <c:pt idx="8">
                  <c:v>$10M+</c:v>
                </c:pt>
              </c:strCache>
            </c:strRef>
          </c:cat>
          <c:val>
            <c:numRef>
              <c:f>Sheet8!$C$1:$C$9</c:f>
              <c:numCache>
                <c:formatCode>0%</c:formatCode>
                <c:ptCount val="9"/>
                <c:pt idx="0">
                  <c:v>0</c:v>
                </c:pt>
                <c:pt idx="1">
                  <c:v>0.55897435897435899</c:v>
                </c:pt>
                <c:pt idx="2">
                  <c:v>0.22564102564102601</c:v>
                </c:pt>
                <c:pt idx="3">
                  <c:v>2.0512820512820499E-2</c:v>
                </c:pt>
                <c:pt idx="4">
                  <c:v>3.5897435897435902E-2</c:v>
                </c:pt>
                <c:pt idx="5">
                  <c:v>1.5384615384615399E-2</c:v>
                </c:pt>
                <c:pt idx="6">
                  <c:v>2.0512820512820499E-2</c:v>
                </c:pt>
                <c:pt idx="7">
                  <c:v>2.0512820512820499E-2</c:v>
                </c:pt>
                <c:pt idx="8">
                  <c:v>0.102564102564103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840-433F-9B1E-E5DAA43F9AB4}"/>
            </c:ext>
          </c:extLst>
        </c:ser>
        <c:ser>
          <c:idx val="2"/>
          <c:order val="2"/>
          <c:spPr>
            <a:solidFill>
              <a:srgbClr val="785A8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Sheet8!$A$1:$A$9</c:f>
              <c:strCache>
                <c:ptCount val="9"/>
                <c:pt idx="0">
                  <c:v>Estimated Total Assets</c:v>
                </c:pt>
                <c:pt idx="1">
                  <c:v>(N/A)</c:v>
                </c:pt>
                <c:pt idx="2">
                  <c:v>Less than $250K</c:v>
                </c:pt>
                <c:pt idx="3">
                  <c:v>$250K - $499,999</c:v>
                </c:pt>
                <c:pt idx="4">
                  <c:v>$500K - $999,999</c:v>
                </c:pt>
                <c:pt idx="5">
                  <c:v>$1M - $2,499,999</c:v>
                </c:pt>
                <c:pt idx="6">
                  <c:v>$2.5M - $4,999,999</c:v>
                </c:pt>
                <c:pt idx="7">
                  <c:v>$5M - $9,999,999</c:v>
                </c:pt>
                <c:pt idx="8">
                  <c:v>$10M+</c:v>
                </c:pt>
              </c:strCache>
            </c:strRef>
          </c:cat>
          <c:val>
            <c:numRef>
              <c:f>Sheet8!$D$1:$D$9</c:f>
              <c:numCache>
                <c:formatCode>General</c:formatCode>
                <c:ptCount val="9"/>
                <c:pt idx="0">
                  <c:v>0</c:v>
                </c:pt>
                <c:pt idx="1">
                  <c:v>0.57394999999999996</c:v>
                </c:pt>
                <c:pt idx="2">
                  <c:v>0.26019999999999999</c:v>
                </c:pt>
                <c:pt idx="3">
                  <c:v>2.4424999999999999E-2</c:v>
                </c:pt>
                <c:pt idx="4">
                  <c:v>3.15E-2</c:v>
                </c:pt>
                <c:pt idx="5">
                  <c:v>1.5800000000000002E-2</c:v>
                </c:pt>
                <c:pt idx="6">
                  <c:v>5.9500000000000004E-3</c:v>
                </c:pt>
                <c:pt idx="7">
                  <c:v>4.1999999999999997E-3</c:v>
                </c:pt>
                <c:pt idx="8">
                  <c:v>8.3974999999999994E-2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840-433F-9B1E-E5DAA43F9AB4}"/>
            </c:ext>
          </c:extLst>
        </c:ser>
        <c:ser>
          <c:idx val="3"/>
          <c:order val="3"/>
          <c:invertIfNegative val="0"/>
          <c:cat>
            <c:strRef>
              <c:f>Sheet8!$A$1:$A$9</c:f>
              <c:strCache>
                <c:ptCount val="9"/>
                <c:pt idx="0">
                  <c:v>Estimated Total Assets</c:v>
                </c:pt>
                <c:pt idx="1">
                  <c:v>(N/A)</c:v>
                </c:pt>
                <c:pt idx="2">
                  <c:v>Less than $250K</c:v>
                </c:pt>
                <c:pt idx="3">
                  <c:v>$250K - $499,999</c:v>
                </c:pt>
                <c:pt idx="4">
                  <c:v>$500K - $999,999</c:v>
                </c:pt>
                <c:pt idx="5">
                  <c:v>$1M - $2,499,999</c:v>
                </c:pt>
                <c:pt idx="6">
                  <c:v>$2.5M - $4,999,999</c:v>
                </c:pt>
                <c:pt idx="7">
                  <c:v>$5M - $9,999,999</c:v>
                </c:pt>
                <c:pt idx="8">
                  <c:v>$10M+</c:v>
                </c:pt>
              </c:strCache>
            </c:strRef>
          </c:cat>
          <c:val>
            <c:numRef>
              <c:f>Sheet8!$E$1:$E$9</c:f>
              <c:numCache>
                <c:formatCode>0%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6-D840-433F-9B1E-E5DAA43F9A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8437936"/>
        <c:axId val="558445152"/>
      </c:barChart>
      <c:catAx>
        <c:axId val="558437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58445152"/>
        <c:crosses val="autoZero"/>
        <c:auto val="1"/>
        <c:lblAlgn val="ctr"/>
        <c:lblOffset val="100"/>
        <c:noMultiLvlLbl val="0"/>
      </c:catAx>
      <c:valAx>
        <c:axId val="558445152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%" sourceLinked="1"/>
        <c:majorTickMark val="out"/>
        <c:minorTickMark val="none"/>
        <c:tickLblPos val="nextTo"/>
        <c:crossAx val="558437936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/>
            </a:pPr>
            <a:r>
              <a:rPr lang="en-US" sz="2000"/>
              <a:t>Ethnic Owned Business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6EBE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Sheet9!$A$1:$A$3</c:f>
              <c:strCache>
                <c:ptCount val="3"/>
                <c:pt idx="0">
                  <c:v>Ethnic Owned Business</c:v>
                </c:pt>
                <c:pt idx="1">
                  <c:v>No</c:v>
                </c:pt>
                <c:pt idx="2">
                  <c:v>Yes</c:v>
                </c:pt>
              </c:strCache>
            </c:strRef>
          </c:cat>
          <c:val>
            <c:numRef>
              <c:f>Sheet9!$B$1:$B$3</c:f>
              <c:numCache>
                <c:formatCode>0%</c:formatCode>
                <c:ptCount val="3"/>
                <c:pt idx="0">
                  <c:v>0</c:v>
                </c:pt>
                <c:pt idx="1">
                  <c:v>0.99710982658959502</c:v>
                </c:pt>
                <c:pt idx="2">
                  <c:v>2.8901734104046198E-3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5CB-4CA3-BAD7-58541FFD5F2D}"/>
            </c:ext>
          </c:extLst>
        </c:ser>
        <c:ser>
          <c:idx val="1"/>
          <c:order val="1"/>
          <c:spPr>
            <a:solidFill>
              <a:srgbClr val="BE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Sheet9!$A$1:$A$3</c:f>
              <c:strCache>
                <c:ptCount val="3"/>
                <c:pt idx="0">
                  <c:v>Ethnic Owned Business</c:v>
                </c:pt>
                <c:pt idx="1">
                  <c:v>No</c:v>
                </c:pt>
                <c:pt idx="2">
                  <c:v>Yes</c:v>
                </c:pt>
              </c:strCache>
            </c:strRef>
          </c:cat>
          <c:val>
            <c:numRef>
              <c:f>Sheet9!$C$1:$C$3</c:f>
              <c:numCache>
                <c:formatCode>0%</c:formatCode>
                <c:ptCount val="3"/>
                <c:pt idx="0">
                  <c:v>0</c:v>
                </c:pt>
                <c:pt idx="1">
                  <c:v>0.994871794871795</c:v>
                </c:pt>
                <c:pt idx="2">
                  <c:v>5.1282051282051299E-3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5CB-4CA3-BAD7-58541FFD5F2D}"/>
            </c:ext>
          </c:extLst>
        </c:ser>
        <c:ser>
          <c:idx val="2"/>
          <c:order val="2"/>
          <c:spPr>
            <a:solidFill>
              <a:srgbClr val="785A8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Sheet9!$A$1:$A$3</c:f>
              <c:strCache>
                <c:ptCount val="3"/>
                <c:pt idx="0">
                  <c:v>Ethnic Owned Business</c:v>
                </c:pt>
                <c:pt idx="1">
                  <c:v>No</c:v>
                </c:pt>
                <c:pt idx="2">
                  <c:v>Yes</c:v>
                </c:pt>
              </c:strCache>
            </c:strRef>
          </c:cat>
          <c:val>
            <c:numRef>
              <c:f>Sheet9!$D$1:$D$3</c:f>
              <c:numCache>
                <c:formatCode>General</c:formatCode>
                <c:ptCount val="3"/>
                <c:pt idx="0">
                  <c:v>0</c:v>
                </c:pt>
                <c:pt idx="1">
                  <c:v>0.985375</c:v>
                </c:pt>
                <c:pt idx="2">
                  <c:v>1.4625000000000001E-2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5CB-4CA3-BAD7-58541FFD5F2D}"/>
            </c:ext>
          </c:extLst>
        </c:ser>
        <c:ser>
          <c:idx val="3"/>
          <c:order val="3"/>
          <c:invertIfNegative val="0"/>
          <c:cat>
            <c:strRef>
              <c:f>Sheet9!$A$1:$A$3</c:f>
              <c:strCache>
                <c:ptCount val="3"/>
                <c:pt idx="0">
                  <c:v>Ethnic Owned Business</c:v>
                </c:pt>
                <c:pt idx="1">
                  <c:v>No</c:v>
                </c:pt>
                <c:pt idx="2">
                  <c:v>Yes</c:v>
                </c:pt>
              </c:strCache>
            </c:strRef>
          </c:cat>
          <c:val>
            <c:numRef>
              <c:f>Sheet9!$E$1:$E$3</c:f>
              <c:numCache>
                <c:formatCode>0%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5-15CB-4CA3-BAD7-58541FFD5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8454992"/>
        <c:axId val="558450728"/>
      </c:barChart>
      <c:catAx>
        <c:axId val="558454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58450728"/>
        <c:crosses val="autoZero"/>
        <c:auto val="1"/>
        <c:lblAlgn val="ctr"/>
        <c:lblOffset val="100"/>
        <c:noMultiLvlLbl val="0"/>
      </c:catAx>
      <c:valAx>
        <c:axId val="558450728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%" sourceLinked="1"/>
        <c:majorTickMark val="out"/>
        <c:minorTickMark val="none"/>
        <c:tickLblPos val="nextTo"/>
        <c:crossAx val="558454992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/>
            </a:pPr>
            <a:r>
              <a:rPr lang="en-US" sz="2000"/>
              <a:t>Financial Worthiness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6EBE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Sheet10!$A$1:$A$6</c:f>
              <c:strCache>
                <c:ptCount val="6"/>
                <c:pt idx="0">
                  <c:v>Financial Worthiness</c:v>
                </c:pt>
                <c:pt idx="1">
                  <c:v>Excellent</c:v>
                </c:pt>
                <c:pt idx="2">
                  <c:v>Very Good</c:v>
                </c:pt>
                <c:pt idx="3">
                  <c:v>Good</c:v>
                </c:pt>
                <c:pt idx="4">
                  <c:v>Institution/Government</c:v>
                </c:pt>
                <c:pt idx="5">
                  <c:v>Unknown</c:v>
                </c:pt>
              </c:strCache>
            </c:strRef>
          </c:cat>
          <c:val>
            <c:numRef>
              <c:f>Sheet10!$B$1:$B$6</c:f>
              <c:numCache>
                <c:formatCode>0%</c:formatCode>
                <c:ptCount val="6"/>
                <c:pt idx="0">
                  <c:v>0</c:v>
                </c:pt>
                <c:pt idx="1">
                  <c:v>0.20809248554913301</c:v>
                </c:pt>
                <c:pt idx="2">
                  <c:v>5.2023121387283197E-2</c:v>
                </c:pt>
                <c:pt idx="3">
                  <c:v>2.0231213872832401E-2</c:v>
                </c:pt>
                <c:pt idx="4">
                  <c:v>6.3583815028901702E-2</c:v>
                </c:pt>
                <c:pt idx="5">
                  <c:v>0.65606936416185002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800-45B4-821B-D0E513D8AE5C}"/>
            </c:ext>
          </c:extLst>
        </c:ser>
        <c:ser>
          <c:idx val="1"/>
          <c:order val="1"/>
          <c:spPr>
            <a:solidFill>
              <a:srgbClr val="BE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Sheet10!$A$1:$A$6</c:f>
              <c:strCache>
                <c:ptCount val="6"/>
                <c:pt idx="0">
                  <c:v>Financial Worthiness</c:v>
                </c:pt>
                <c:pt idx="1">
                  <c:v>Excellent</c:v>
                </c:pt>
                <c:pt idx="2">
                  <c:v>Very Good</c:v>
                </c:pt>
                <c:pt idx="3">
                  <c:v>Good</c:v>
                </c:pt>
                <c:pt idx="4">
                  <c:v>Institution/Government</c:v>
                </c:pt>
                <c:pt idx="5">
                  <c:v>Unknown</c:v>
                </c:pt>
              </c:strCache>
            </c:strRef>
          </c:cat>
          <c:val>
            <c:numRef>
              <c:f>Sheet10!$C$1:$C$6</c:f>
              <c:numCache>
                <c:formatCode>0%</c:formatCode>
                <c:ptCount val="6"/>
                <c:pt idx="0">
                  <c:v>0</c:v>
                </c:pt>
                <c:pt idx="1">
                  <c:v>0.18461538461538499</c:v>
                </c:pt>
                <c:pt idx="2">
                  <c:v>9.2307692307692299E-2</c:v>
                </c:pt>
                <c:pt idx="3">
                  <c:v>5.1282051282051299E-3</c:v>
                </c:pt>
                <c:pt idx="4">
                  <c:v>7.1794871794871803E-2</c:v>
                </c:pt>
                <c:pt idx="5">
                  <c:v>0.64615384615384597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800-45B4-821B-D0E513D8AE5C}"/>
            </c:ext>
          </c:extLst>
        </c:ser>
        <c:ser>
          <c:idx val="2"/>
          <c:order val="2"/>
          <c:spPr>
            <a:solidFill>
              <a:srgbClr val="785A8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Sheet10!$A$1:$A$6</c:f>
              <c:strCache>
                <c:ptCount val="6"/>
                <c:pt idx="0">
                  <c:v>Financial Worthiness</c:v>
                </c:pt>
                <c:pt idx="1">
                  <c:v>Excellent</c:v>
                </c:pt>
                <c:pt idx="2">
                  <c:v>Very Good</c:v>
                </c:pt>
                <c:pt idx="3">
                  <c:v>Good</c:v>
                </c:pt>
                <c:pt idx="4">
                  <c:v>Institution/Government</c:v>
                </c:pt>
                <c:pt idx="5">
                  <c:v>Unknown</c:v>
                </c:pt>
              </c:strCache>
            </c:strRef>
          </c:cat>
          <c:val>
            <c:numRef>
              <c:f>Sheet10!$D$1:$D$6</c:f>
              <c:numCache>
                <c:formatCode>General</c:formatCode>
                <c:ptCount val="6"/>
                <c:pt idx="0">
                  <c:v>0</c:v>
                </c:pt>
                <c:pt idx="1">
                  <c:v>0.1588</c:v>
                </c:pt>
                <c:pt idx="2">
                  <c:v>6.4975000000000005E-2</c:v>
                </c:pt>
                <c:pt idx="3">
                  <c:v>3.6824999999999997E-2</c:v>
                </c:pt>
                <c:pt idx="4">
                  <c:v>3.5374999999999997E-2</c:v>
                </c:pt>
                <c:pt idx="5">
                  <c:v>0.70402500000000001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800-45B4-821B-D0E513D8AE5C}"/>
            </c:ext>
          </c:extLst>
        </c:ser>
        <c:ser>
          <c:idx val="3"/>
          <c:order val="3"/>
          <c:invertIfNegative val="0"/>
          <c:cat>
            <c:strRef>
              <c:f>Sheet10!$A$1:$A$6</c:f>
              <c:strCache>
                <c:ptCount val="6"/>
                <c:pt idx="0">
                  <c:v>Financial Worthiness</c:v>
                </c:pt>
                <c:pt idx="1">
                  <c:v>Excellent</c:v>
                </c:pt>
                <c:pt idx="2">
                  <c:v>Very Good</c:v>
                </c:pt>
                <c:pt idx="3">
                  <c:v>Good</c:v>
                </c:pt>
                <c:pt idx="4">
                  <c:v>Institution/Government</c:v>
                </c:pt>
                <c:pt idx="5">
                  <c:v>Unknown</c:v>
                </c:pt>
              </c:strCache>
            </c:strRef>
          </c:cat>
          <c:val>
            <c:numRef>
              <c:f>Sheet10!$E$1:$E$6</c:f>
              <c:numCache>
                <c:formatCode>0%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6-4800-45B4-821B-D0E513D8AE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8460568"/>
        <c:axId val="558461224"/>
      </c:barChart>
      <c:catAx>
        <c:axId val="558460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58461224"/>
        <c:crosses val="autoZero"/>
        <c:auto val="1"/>
        <c:lblAlgn val="ctr"/>
        <c:lblOffset val="100"/>
        <c:noMultiLvlLbl val="0"/>
      </c:catAx>
      <c:valAx>
        <c:axId val="55846122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%" sourceLinked="1"/>
        <c:majorTickMark val="out"/>
        <c:minorTickMark val="none"/>
        <c:tickLblPos val="nextTo"/>
        <c:crossAx val="558460568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/>
            </a:pPr>
            <a:r>
              <a:rPr lang="en-US" sz="2000"/>
              <a:t>Gender of Contact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6EBE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Sheet11!$A$1:$A$4</c:f>
              <c:strCache>
                <c:ptCount val="4"/>
                <c:pt idx="0">
                  <c:v>Gender of Contact</c:v>
                </c:pt>
                <c:pt idx="1">
                  <c:v>Female</c:v>
                </c:pt>
                <c:pt idx="2">
                  <c:v>Male</c:v>
                </c:pt>
                <c:pt idx="3">
                  <c:v>Unknown</c:v>
                </c:pt>
              </c:strCache>
            </c:strRef>
          </c:cat>
          <c:val>
            <c:numRef>
              <c:f>Sheet11!$B$1:$B$4</c:f>
              <c:numCache>
                <c:formatCode>0%</c:formatCode>
                <c:ptCount val="4"/>
                <c:pt idx="0">
                  <c:v>0</c:v>
                </c:pt>
                <c:pt idx="1">
                  <c:v>0.33815028901734101</c:v>
                </c:pt>
                <c:pt idx="2">
                  <c:v>0.56358381502890198</c:v>
                </c:pt>
                <c:pt idx="3">
                  <c:v>9.8265895953757204E-2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8B0-4650-9D43-2755E903D08C}"/>
            </c:ext>
          </c:extLst>
        </c:ser>
        <c:ser>
          <c:idx val="1"/>
          <c:order val="1"/>
          <c:spPr>
            <a:solidFill>
              <a:srgbClr val="BE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Sheet11!$A$1:$A$4</c:f>
              <c:strCache>
                <c:ptCount val="4"/>
                <c:pt idx="0">
                  <c:v>Gender of Contact</c:v>
                </c:pt>
                <c:pt idx="1">
                  <c:v>Female</c:v>
                </c:pt>
                <c:pt idx="2">
                  <c:v>Male</c:v>
                </c:pt>
                <c:pt idx="3">
                  <c:v>Unknown</c:v>
                </c:pt>
              </c:strCache>
            </c:strRef>
          </c:cat>
          <c:val>
            <c:numRef>
              <c:f>Sheet11!$C$1:$C$4</c:f>
              <c:numCache>
                <c:formatCode>0%</c:formatCode>
                <c:ptCount val="4"/>
                <c:pt idx="0">
                  <c:v>0</c:v>
                </c:pt>
                <c:pt idx="1">
                  <c:v>0.47692307692307701</c:v>
                </c:pt>
                <c:pt idx="2">
                  <c:v>0.43589743589743601</c:v>
                </c:pt>
                <c:pt idx="3">
                  <c:v>8.7179487179487203E-2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8B0-4650-9D43-2755E903D08C}"/>
            </c:ext>
          </c:extLst>
        </c:ser>
        <c:ser>
          <c:idx val="2"/>
          <c:order val="2"/>
          <c:spPr>
            <a:solidFill>
              <a:srgbClr val="785A8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Sheet11!$A$1:$A$4</c:f>
              <c:strCache>
                <c:ptCount val="4"/>
                <c:pt idx="0">
                  <c:v>Gender of Contact</c:v>
                </c:pt>
                <c:pt idx="1">
                  <c:v>Female</c:v>
                </c:pt>
                <c:pt idx="2">
                  <c:v>Male</c:v>
                </c:pt>
                <c:pt idx="3">
                  <c:v>Unknown</c:v>
                </c:pt>
              </c:strCache>
            </c:strRef>
          </c:cat>
          <c:val>
            <c:numRef>
              <c:f>Sheet11!$D$1:$D$4</c:f>
              <c:numCache>
                <c:formatCode>General</c:formatCode>
                <c:ptCount val="4"/>
                <c:pt idx="0">
                  <c:v>0</c:v>
                </c:pt>
                <c:pt idx="1">
                  <c:v>0.31362499999999999</c:v>
                </c:pt>
                <c:pt idx="2">
                  <c:v>0.57879999999999998</c:v>
                </c:pt>
                <c:pt idx="3">
                  <c:v>0.107575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8B0-4650-9D43-2755E903D08C}"/>
            </c:ext>
          </c:extLst>
        </c:ser>
        <c:ser>
          <c:idx val="3"/>
          <c:order val="3"/>
          <c:invertIfNegative val="0"/>
          <c:cat>
            <c:strRef>
              <c:f>Sheet11!$A$1:$A$4</c:f>
              <c:strCache>
                <c:ptCount val="4"/>
                <c:pt idx="0">
                  <c:v>Gender of Contact</c:v>
                </c:pt>
                <c:pt idx="1">
                  <c:v>Female</c:v>
                </c:pt>
                <c:pt idx="2">
                  <c:v>Male</c:v>
                </c:pt>
                <c:pt idx="3">
                  <c:v>Unknown</c:v>
                </c:pt>
              </c:strCache>
            </c:strRef>
          </c:cat>
          <c:val>
            <c:numRef>
              <c:f>Sheet11!$E$1:$E$4</c:f>
              <c:numCache>
                <c:formatCode>0%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6-18B0-4650-9D43-2755E903D0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8447776"/>
        <c:axId val="558448104"/>
      </c:barChart>
      <c:catAx>
        <c:axId val="558447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58448104"/>
        <c:crosses val="autoZero"/>
        <c:auto val="1"/>
        <c:lblAlgn val="ctr"/>
        <c:lblOffset val="100"/>
        <c:noMultiLvlLbl val="0"/>
      </c:catAx>
      <c:valAx>
        <c:axId val="55844810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%" sourceLinked="1"/>
        <c:majorTickMark val="out"/>
        <c:minorTickMark val="none"/>
        <c:tickLblPos val="nextTo"/>
        <c:crossAx val="558447776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/>
            </a:pPr>
            <a:r>
              <a:rPr lang="en-US" sz="2000"/>
              <a:t>Home Office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6EBE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Sheet12!$A$1:$A$3</c:f>
              <c:strCache>
                <c:ptCount val="3"/>
                <c:pt idx="0">
                  <c:v>Home Office</c:v>
                </c:pt>
                <c:pt idx="1">
                  <c:v>No</c:v>
                </c:pt>
                <c:pt idx="2">
                  <c:v>Yes</c:v>
                </c:pt>
              </c:strCache>
            </c:strRef>
          </c:cat>
          <c:val>
            <c:numRef>
              <c:f>Sheet12!$B$1:$B$3</c:f>
              <c:numCache>
                <c:formatCode>0%</c:formatCode>
                <c:ptCount val="3"/>
                <c:pt idx="0">
                  <c:v>0</c:v>
                </c:pt>
                <c:pt idx="1">
                  <c:v>0.959537572254335</c:v>
                </c:pt>
                <c:pt idx="2">
                  <c:v>4.0462427745664699E-2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FAE-4BB5-911F-FD00FFBC1876}"/>
            </c:ext>
          </c:extLst>
        </c:ser>
        <c:ser>
          <c:idx val="1"/>
          <c:order val="1"/>
          <c:spPr>
            <a:solidFill>
              <a:srgbClr val="BE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Sheet12!$A$1:$A$3</c:f>
              <c:strCache>
                <c:ptCount val="3"/>
                <c:pt idx="0">
                  <c:v>Home Office</c:v>
                </c:pt>
                <c:pt idx="1">
                  <c:v>No</c:v>
                </c:pt>
                <c:pt idx="2">
                  <c:v>Yes</c:v>
                </c:pt>
              </c:strCache>
            </c:strRef>
          </c:cat>
          <c:val>
            <c:numRef>
              <c:f>Sheet12!$C$1:$C$3</c:f>
              <c:numCache>
                <c:formatCode>0%</c:formatCode>
                <c:ptCount val="3"/>
                <c:pt idx="0">
                  <c:v>0</c:v>
                </c:pt>
                <c:pt idx="1">
                  <c:v>0.979487179487179</c:v>
                </c:pt>
                <c:pt idx="2">
                  <c:v>2.0512820512820499E-2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FAE-4BB5-911F-FD00FFBC1876}"/>
            </c:ext>
          </c:extLst>
        </c:ser>
        <c:ser>
          <c:idx val="2"/>
          <c:order val="2"/>
          <c:spPr>
            <a:solidFill>
              <a:srgbClr val="785A8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Sheet12!$A$1:$A$3</c:f>
              <c:strCache>
                <c:ptCount val="3"/>
                <c:pt idx="0">
                  <c:v>Home Office</c:v>
                </c:pt>
                <c:pt idx="1">
                  <c:v>No</c:v>
                </c:pt>
                <c:pt idx="2">
                  <c:v>Yes</c:v>
                </c:pt>
              </c:strCache>
            </c:strRef>
          </c:cat>
          <c:val>
            <c:numRef>
              <c:f>Sheet12!$D$1:$D$3</c:f>
              <c:numCache>
                <c:formatCode>General</c:formatCode>
                <c:ptCount val="3"/>
                <c:pt idx="0">
                  <c:v>0</c:v>
                </c:pt>
                <c:pt idx="1">
                  <c:v>0.95862499999999995</c:v>
                </c:pt>
                <c:pt idx="2">
                  <c:v>4.1375000000000002E-2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FAE-4BB5-911F-FD00FFBC1876}"/>
            </c:ext>
          </c:extLst>
        </c:ser>
        <c:ser>
          <c:idx val="3"/>
          <c:order val="3"/>
          <c:invertIfNegative val="0"/>
          <c:cat>
            <c:strRef>
              <c:f>Sheet12!$A$1:$A$3</c:f>
              <c:strCache>
                <c:ptCount val="3"/>
                <c:pt idx="0">
                  <c:v>Home Office</c:v>
                </c:pt>
                <c:pt idx="1">
                  <c:v>No</c:v>
                </c:pt>
                <c:pt idx="2">
                  <c:v>Yes</c:v>
                </c:pt>
              </c:strCache>
            </c:strRef>
          </c:cat>
          <c:val>
            <c:numRef>
              <c:f>Sheet12!$E$1:$E$3</c:f>
              <c:numCache>
                <c:formatCode>0%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5-EFAE-4BB5-911F-FD00FFBC18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8421536"/>
        <c:axId val="558421864"/>
      </c:barChart>
      <c:catAx>
        <c:axId val="558421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58421864"/>
        <c:crosses val="autoZero"/>
        <c:auto val="1"/>
        <c:lblAlgn val="ctr"/>
        <c:lblOffset val="100"/>
        <c:noMultiLvlLbl val="0"/>
      </c:catAx>
      <c:valAx>
        <c:axId val="55842186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%" sourceLinked="1"/>
        <c:majorTickMark val="out"/>
        <c:minorTickMark val="none"/>
        <c:tickLblPos val="nextTo"/>
        <c:crossAx val="558421536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/>
            </a:pPr>
            <a:r>
              <a:rPr lang="en-US" sz="2000"/>
              <a:t>Employee Size - Location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6EBE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Sheet13!$A$1:$A$12</c:f>
              <c:strCache>
                <c:ptCount val="12"/>
                <c:pt idx="0">
                  <c:v>Employee Size - Location</c:v>
                </c:pt>
                <c:pt idx="1">
                  <c:v>1-4</c:v>
                </c:pt>
                <c:pt idx="2">
                  <c:v>5-9</c:v>
                </c:pt>
                <c:pt idx="3">
                  <c:v>10-19</c:v>
                </c:pt>
                <c:pt idx="4">
                  <c:v>20-49</c:v>
                </c:pt>
                <c:pt idx="5">
                  <c:v>50-99</c:v>
                </c:pt>
                <c:pt idx="6">
                  <c:v>100-249</c:v>
                </c:pt>
                <c:pt idx="7">
                  <c:v>250-499</c:v>
                </c:pt>
                <c:pt idx="8">
                  <c:v>500-999</c:v>
                </c:pt>
                <c:pt idx="9">
                  <c:v>1,000-4,999</c:v>
                </c:pt>
                <c:pt idx="10">
                  <c:v>5000+</c:v>
                </c:pt>
                <c:pt idx="11">
                  <c:v>Unknown</c:v>
                </c:pt>
              </c:strCache>
            </c:strRef>
          </c:cat>
          <c:val>
            <c:numRef>
              <c:f>Sheet13!$B$1:$B$12</c:f>
              <c:numCache>
                <c:formatCode>0%</c:formatCode>
                <c:ptCount val="12"/>
                <c:pt idx="0">
                  <c:v>0</c:v>
                </c:pt>
                <c:pt idx="1">
                  <c:v>0.42196531791907499</c:v>
                </c:pt>
                <c:pt idx="2">
                  <c:v>0.16184971098265899</c:v>
                </c:pt>
                <c:pt idx="3">
                  <c:v>8.0924855491329495E-2</c:v>
                </c:pt>
                <c:pt idx="4">
                  <c:v>0.135838150289017</c:v>
                </c:pt>
                <c:pt idx="5">
                  <c:v>6.6473988439306395E-2</c:v>
                </c:pt>
                <c:pt idx="6">
                  <c:v>5.7803468208092498E-2</c:v>
                </c:pt>
                <c:pt idx="7">
                  <c:v>2.8901734104046201E-2</c:v>
                </c:pt>
                <c:pt idx="8">
                  <c:v>5.78034682080925E-3</c:v>
                </c:pt>
                <c:pt idx="9">
                  <c:v>0</c:v>
                </c:pt>
                <c:pt idx="10">
                  <c:v>2.8901734104046198E-3</c:v>
                </c:pt>
                <c:pt idx="11">
                  <c:v>3.7572254335260097E-2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F71-4316-BAE0-CF44510B41CD}"/>
            </c:ext>
          </c:extLst>
        </c:ser>
        <c:ser>
          <c:idx val="1"/>
          <c:order val="1"/>
          <c:spPr>
            <a:solidFill>
              <a:srgbClr val="BE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Sheet13!$A$1:$A$12</c:f>
              <c:strCache>
                <c:ptCount val="12"/>
                <c:pt idx="0">
                  <c:v>Employee Size - Location</c:v>
                </c:pt>
                <c:pt idx="1">
                  <c:v>1-4</c:v>
                </c:pt>
                <c:pt idx="2">
                  <c:v>5-9</c:v>
                </c:pt>
                <c:pt idx="3">
                  <c:v>10-19</c:v>
                </c:pt>
                <c:pt idx="4">
                  <c:v>20-49</c:v>
                </c:pt>
                <c:pt idx="5">
                  <c:v>50-99</c:v>
                </c:pt>
                <c:pt idx="6">
                  <c:v>100-249</c:v>
                </c:pt>
                <c:pt idx="7">
                  <c:v>250-499</c:v>
                </c:pt>
                <c:pt idx="8">
                  <c:v>500-999</c:v>
                </c:pt>
                <c:pt idx="9">
                  <c:v>1,000-4,999</c:v>
                </c:pt>
                <c:pt idx="10">
                  <c:v>5000+</c:v>
                </c:pt>
                <c:pt idx="11">
                  <c:v>Unknown</c:v>
                </c:pt>
              </c:strCache>
            </c:strRef>
          </c:cat>
          <c:val>
            <c:numRef>
              <c:f>Sheet13!$C$1:$C$12</c:f>
              <c:numCache>
                <c:formatCode>0%</c:formatCode>
                <c:ptCount val="12"/>
                <c:pt idx="0">
                  <c:v>0</c:v>
                </c:pt>
                <c:pt idx="1">
                  <c:v>0.38974358974359002</c:v>
                </c:pt>
                <c:pt idx="2">
                  <c:v>0.138461538461538</c:v>
                </c:pt>
                <c:pt idx="3">
                  <c:v>0.102564102564103</c:v>
                </c:pt>
                <c:pt idx="4">
                  <c:v>0.107692307692308</c:v>
                </c:pt>
                <c:pt idx="5">
                  <c:v>0.107692307692308</c:v>
                </c:pt>
                <c:pt idx="6">
                  <c:v>4.1025641025640998E-2</c:v>
                </c:pt>
                <c:pt idx="7">
                  <c:v>1.5384615384615399E-2</c:v>
                </c:pt>
                <c:pt idx="8">
                  <c:v>1.02564102564103E-2</c:v>
                </c:pt>
                <c:pt idx="9">
                  <c:v>0</c:v>
                </c:pt>
                <c:pt idx="10">
                  <c:v>0</c:v>
                </c:pt>
                <c:pt idx="11">
                  <c:v>8.7179487179487203E-2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F71-4316-BAE0-CF44510B41CD}"/>
            </c:ext>
          </c:extLst>
        </c:ser>
        <c:ser>
          <c:idx val="2"/>
          <c:order val="2"/>
          <c:spPr>
            <a:solidFill>
              <a:srgbClr val="785A8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Sheet13!$A$1:$A$12</c:f>
              <c:strCache>
                <c:ptCount val="12"/>
                <c:pt idx="0">
                  <c:v>Employee Size - Location</c:v>
                </c:pt>
                <c:pt idx="1">
                  <c:v>1-4</c:v>
                </c:pt>
                <c:pt idx="2">
                  <c:v>5-9</c:v>
                </c:pt>
                <c:pt idx="3">
                  <c:v>10-19</c:v>
                </c:pt>
                <c:pt idx="4">
                  <c:v>20-49</c:v>
                </c:pt>
                <c:pt idx="5">
                  <c:v>50-99</c:v>
                </c:pt>
                <c:pt idx="6">
                  <c:v>100-249</c:v>
                </c:pt>
                <c:pt idx="7">
                  <c:v>250-499</c:v>
                </c:pt>
                <c:pt idx="8">
                  <c:v>500-999</c:v>
                </c:pt>
                <c:pt idx="9">
                  <c:v>1,000-4,999</c:v>
                </c:pt>
                <c:pt idx="10">
                  <c:v>5000+</c:v>
                </c:pt>
                <c:pt idx="11">
                  <c:v>Unknown</c:v>
                </c:pt>
              </c:strCache>
            </c:strRef>
          </c:cat>
          <c:val>
            <c:numRef>
              <c:f>Sheet13!$D$1:$D$12</c:f>
              <c:numCache>
                <c:formatCode>General</c:formatCode>
                <c:ptCount val="12"/>
                <c:pt idx="0">
                  <c:v>0</c:v>
                </c:pt>
                <c:pt idx="1">
                  <c:v>0.54559999999999997</c:v>
                </c:pt>
                <c:pt idx="2">
                  <c:v>0.1182</c:v>
                </c:pt>
                <c:pt idx="3">
                  <c:v>8.8374999999999995E-2</c:v>
                </c:pt>
                <c:pt idx="4">
                  <c:v>6.9525000000000003E-2</c:v>
                </c:pt>
                <c:pt idx="5">
                  <c:v>4.0099999999999997E-2</c:v>
                </c:pt>
                <c:pt idx="6">
                  <c:v>4.3575000000000003E-2</c:v>
                </c:pt>
                <c:pt idx="7">
                  <c:v>1.66E-2</c:v>
                </c:pt>
                <c:pt idx="8">
                  <c:v>9.9249999999999998E-3</c:v>
                </c:pt>
                <c:pt idx="9">
                  <c:v>6.45E-3</c:v>
                </c:pt>
                <c:pt idx="10">
                  <c:v>3.4499999999999999E-3</c:v>
                </c:pt>
                <c:pt idx="11">
                  <c:v>5.8200000000000002E-2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F71-4316-BAE0-CF44510B41CD}"/>
            </c:ext>
          </c:extLst>
        </c:ser>
        <c:ser>
          <c:idx val="3"/>
          <c:order val="3"/>
          <c:invertIfNegative val="0"/>
          <c:cat>
            <c:strRef>
              <c:f>Sheet13!$A$1:$A$12</c:f>
              <c:strCache>
                <c:ptCount val="12"/>
                <c:pt idx="0">
                  <c:v>Employee Size - Location</c:v>
                </c:pt>
                <c:pt idx="1">
                  <c:v>1-4</c:v>
                </c:pt>
                <c:pt idx="2">
                  <c:v>5-9</c:v>
                </c:pt>
                <c:pt idx="3">
                  <c:v>10-19</c:v>
                </c:pt>
                <c:pt idx="4">
                  <c:v>20-49</c:v>
                </c:pt>
                <c:pt idx="5">
                  <c:v>50-99</c:v>
                </c:pt>
                <c:pt idx="6">
                  <c:v>100-249</c:v>
                </c:pt>
                <c:pt idx="7">
                  <c:v>250-499</c:v>
                </c:pt>
                <c:pt idx="8">
                  <c:v>500-999</c:v>
                </c:pt>
                <c:pt idx="9">
                  <c:v>1,000-4,999</c:v>
                </c:pt>
                <c:pt idx="10">
                  <c:v>5000+</c:v>
                </c:pt>
                <c:pt idx="11">
                  <c:v>Unknown</c:v>
                </c:pt>
              </c:strCache>
            </c:strRef>
          </c:cat>
          <c:val>
            <c:numRef>
              <c:f>Sheet13!$E$1:$E$12</c:f>
              <c:numCache>
                <c:formatCode>0%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6-7F71-4316-BAE0-CF44510B4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8474016"/>
        <c:axId val="558474344"/>
      </c:barChart>
      <c:catAx>
        <c:axId val="558474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58474344"/>
        <c:crosses val="autoZero"/>
        <c:auto val="1"/>
        <c:lblAlgn val="ctr"/>
        <c:lblOffset val="100"/>
        <c:noMultiLvlLbl val="0"/>
      </c:catAx>
      <c:valAx>
        <c:axId val="55847434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%" sourceLinked="1"/>
        <c:majorTickMark val="out"/>
        <c:minorTickMark val="none"/>
        <c:tickLblPos val="nextTo"/>
        <c:crossAx val="558474016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/>
            </a:pPr>
            <a:r>
              <a:rPr lang="en-US" sz="2000"/>
              <a:t>Sales Volume - Location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6EBE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Sheet14!$A$1:$A$11</c:f>
              <c:strCache>
                <c:ptCount val="11"/>
                <c:pt idx="0">
                  <c:v>Sales Volume - Location</c:v>
                </c:pt>
                <c:pt idx="1">
                  <c:v>500K</c:v>
                </c:pt>
                <c:pt idx="2">
                  <c:v>500K-1M</c:v>
                </c:pt>
                <c:pt idx="3">
                  <c:v>1M-2M</c:v>
                </c:pt>
                <c:pt idx="4">
                  <c:v>2M-5M</c:v>
                </c:pt>
                <c:pt idx="5">
                  <c:v>5M-10M</c:v>
                </c:pt>
                <c:pt idx="6">
                  <c:v>10M-20M</c:v>
                </c:pt>
                <c:pt idx="7">
                  <c:v>20M-50M</c:v>
                </c:pt>
                <c:pt idx="8">
                  <c:v>50M-100M</c:v>
                </c:pt>
                <c:pt idx="9">
                  <c:v>100M+</c:v>
                </c:pt>
                <c:pt idx="10">
                  <c:v>Unknown</c:v>
                </c:pt>
              </c:strCache>
            </c:strRef>
          </c:cat>
          <c:val>
            <c:numRef>
              <c:f>Sheet14!$B$1:$B$11</c:f>
              <c:numCache>
                <c:formatCode>0%</c:formatCode>
                <c:ptCount val="11"/>
                <c:pt idx="0">
                  <c:v>0</c:v>
                </c:pt>
                <c:pt idx="1">
                  <c:v>0.34104046242774599</c:v>
                </c:pt>
                <c:pt idx="2">
                  <c:v>0.15028901734104</c:v>
                </c:pt>
                <c:pt idx="3">
                  <c:v>0.16184971098265899</c:v>
                </c:pt>
                <c:pt idx="4">
                  <c:v>9.5375722543352595E-2</c:v>
                </c:pt>
                <c:pt idx="5">
                  <c:v>5.2023121387283197E-2</c:v>
                </c:pt>
                <c:pt idx="6">
                  <c:v>5.4913294797687903E-2</c:v>
                </c:pt>
                <c:pt idx="7">
                  <c:v>4.9132947976878602E-2</c:v>
                </c:pt>
                <c:pt idx="8">
                  <c:v>5.78034682080925E-3</c:v>
                </c:pt>
                <c:pt idx="9">
                  <c:v>1.7341040462427699E-2</c:v>
                </c:pt>
                <c:pt idx="10">
                  <c:v>7.2254335260115599E-2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843-4226-B0CB-997C58EB19C2}"/>
            </c:ext>
          </c:extLst>
        </c:ser>
        <c:ser>
          <c:idx val="1"/>
          <c:order val="1"/>
          <c:spPr>
            <a:solidFill>
              <a:srgbClr val="BE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Sheet14!$A$1:$A$11</c:f>
              <c:strCache>
                <c:ptCount val="11"/>
                <c:pt idx="0">
                  <c:v>Sales Volume - Location</c:v>
                </c:pt>
                <c:pt idx="1">
                  <c:v>500K</c:v>
                </c:pt>
                <c:pt idx="2">
                  <c:v>500K-1M</c:v>
                </c:pt>
                <c:pt idx="3">
                  <c:v>1M-2M</c:v>
                </c:pt>
                <c:pt idx="4">
                  <c:v>2M-5M</c:v>
                </c:pt>
                <c:pt idx="5">
                  <c:v>5M-10M</c:v>
                </c:pt>
                <c:pt idx="6">
                  <c:v>10M-20M</c:v>
                </c:pt>
                <c:pt idx="7">
                  <c:v>20M-50M</c:v>
                </c:pt>
                <c:pt idx="8">
                  <c:v>50M-100M</c:v>
                </c:pt>
                <c:pt idx="9">
                  <c:v>100M+</c:v>
                </c:pt>
                <c:pt idx="10">
                  <c:v>Unknown</c:v>
                </c:pt>
              </c:strCache>
            </c:strRef>
          </c:cat>
          <c:val>
            <c:numRef>
              <c:f>Sheet14!$C$1:$C$11</c:f>
              <c:numCache>
                <c:formatCode>0%</c:formatCode>
                <c:ptCount val="11"/>
                <c:pt idx="0">
                  <c:v>0</c:v>
                </c:pt>
                <c:pt idx="1">
                  <c:v>0.37948717948717903</c:v>
                </c:pt>
                <c:pt idx="2">
                  <c:v>9.7435897435897395E-2</c:v>
                </c:pt>
                <c:pt idx="3">
                  <c:v>0.17948717948717899</c:v>
                </c:pt>
                <c:pt idx="4">
                  <c:v>0.117948717948718</c:v>
                </c:pt>
                <c:pt idx="5">
                  <c:v>3.5897435897435902E-2</c:v>
                </c:pt>
                <c:pt idx="6">
                  <c:v>2.5641025641025599E-2</c:v>
                </c:pt>
                <c:pt idx="7">
                  <c:v>3.0769230769230799E-2</c:v>
                </c:pt>
                <c:pt idx="8">
                  <c:v>2.0512820512820499E-2</c:v>
                </c:pt>
                <c:pt idx="9">
                  <c:v>1.5384615384615399E-2</c:v>
                </c:pt>
                <c:pt idx="10">
                  <c:v>9.7435897435897395E-2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843-4226-B0CB-997C58EB19C2}"/>
            </c:ext>
          </c:extLst>
        </c:ser>
        <c:ser>
          <c:idx val="2"/>
          <c:order val="2"/>
          <c:spPr>
            <a:solidFill>
              <a:srgbClr val="785A8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Sheet14!$A$1:$A$11</c:f>
              <c:strCache>
                <c:ptCount val="11"/>
                <c:pt idx="0">
                  <c:v>Sales Volume - Location</c:v>
                </c:pt>
                <c:pt idx="1">
                  <c:v>500K</c:v>
                </c:pt>
                <c:pt idx="2">
                  <c:v>500K-1M</c:v>
                </c:pt>
                <c:pt idx="3">
                  <c:v>1M-2M</c:v>
                </c:pt>
                <c:pt idx="4">
                  <c:v>2M-5M</c:v>
                </c:pt>
                <c:pt idx="5">
                  <c:v>5M-10M</c:v>
                </c:pt>
                <c:pt idx="6">
                  <c:v>10M-20M</c:v>
                </c:pt>
                <c:pt idx="7">
                  <c:v>20M-50M</c:v>
                </c:pt>
                <c:pt idx="8">
                  <c:v>50M-100M</c:v>
                </c:pt>
                <c:pt idx="9">
                  <c:v>100M+</c:v>
                </c:pt>
                <c:pt idx="10">
                  <c:v>Unknown</c:v>
                </c:pt>
              </c:strCache>
            </c:strRef>
          </c:cat>
          <c:val>
            <c:numRef>
              <c:f>Sheet14!$D$1:$D$11</c:f>
              <c:numCache>
                <c:formatCode>General</c:formatCode>
                <c:ptCount val="11"/>
                <c:pt idx="0">
                  <c:v>0</c:v>
                </c:pt>
                <c:pt idx="1">
                  <c:v>0.524675</c:v>
                </c:pt>
                <c:pt idx="2">
                  <c:v>9.8174999999999998E-2</c:v>
                </c:pt>
                <c:pt idx="3">
                  <c:v>0.11020000000000001</c:v>
                </c:pt>
                <c:pt idx="4">
                  <c:v>6.2175000000000001E-2</c:v>
                </c:pt>
                <c:pt idx="5">
                  <c:v>4.0425000000000003E-2</c:v>
                </c:pt>
                <c:pt idx="6">
                  <c:v>2.4074999999999999E-2</c:v>
                </c:pt>
                <c:pt idx="7">
                  <c:v>3.4625000000000003E-2</c:v>
                </c:pt>
                <c:pt idx="8">
                  <c:v>1.2075000000000001E-2</c:v>
                </c:pt>
                <c:pt idx="9">
                  <c:v>2.7550000000000002E-2</c:v>
                </c:pt>
                <c:pt idx="10">
                  <c:v>6.6025E-2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843-4226-B0CB-997C58EB19C2}"/>
            </c:ext>
          </c:extLst>
        </c:ser>
        <c:ser>
          <c:idx val="3"/>
          <c:order val="3"/>
          <c:invertIfNegative val="0"/>
          <c:cat>
            <c:strRef>
              <c:f>Sheet14!$A$1:$A$11</c:f>
              <c:strCache>
                <c:ptCount val="11"/>
                <c:pt idx="0">
                  <c:v>Sales Volume - Location</c:v>
                </c:pt>
                <c:pt idx="1">
                  <c:v>500K</c:v>
                </c:pt>
                <c:pt idx="2">
                  <c:v>500K-1M</c:v>
                </c:pt>
                <c:pt idx="3">
                  <c:v>1M-2M</c:v>
                </c:pt>
                <c:pt idx="4">
                  <c:v>2M-5M</c:v>
                </c:pt>
                <c:pt idx="5">
                  <c:v>5M-10M</c:v>
                </c:pt>
                <c:pt idx="6">
                  <c:v>10M-20M</c:v>
                </c:pt>
                <c:pt idx="7">
                  <c:v>20M-50M</c:v>
                </c:pt>
                <c:pt idx="8">
                  <c:v>50M-100M</c:v>
                </c:pt>
                <c:pt idx="9">
                  <c:v>100M+</c:v>
                </c:pt>
                <c:pt idx="10">
                  <c:v>Unknown</c:v>
                </c:pt>
              </c:strCache>
            </c:strRef>
          </c:cat>
          <c:val>
            <c:numRef>
              <c:f>Sheet14!$E$1:$E$11</c:f>
              <c:numCache>
                <c:formatCode>0%</c:formatCode>
                <c:ptCount val="11"/>
              </c:numCache>
            </c:numRef>
          </c:val>
          <c:extLst>
            <c:ext xmlns:c16="http://schemas.microsoft.com/office/drawing/2014/chart" uri="{C3380CC4-5D6E-409C-BE32-E72D297353CC}">
              <c16:uniqueId val="{00000006-5843-4226-B0CB-997C58EB1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8612824"/>
        <c:axId val="378610200"/>
      </c:barChart>
      <c:catAx>
        <c:axId val="378612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8610200"/>
        <c:crosses val="autoZero"/>
        <c:auto val="1"/>
        <c:lblAlgn val="ctr"/>
        <c:lblOffset val="100"/>
        <c:noMultiLvlLbl val="0"/>
      </c:catAx>
      <c:valAx>
        <c:axId val="378610200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%" sourceLinked="1"/>
        <c:majorTickMark val="out"/>
        <c:minorTickMark val="none"/>
        <c:tickLblPos val="nextTo"/>
        <c:crossAx val="378612824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/>
            </a:pPr>
            <a:r>
              <a:rPr lang="en-US" sz="2000"/>
              <a:t>NAICS Description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6EBE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Sheet15!$A$1:$A$16</c:f>
              <c:strCache>
                <c:ptCount val="16"/>
                <c:pt idx="0">
                  <c:v>NAICS Description</c:v>
                </c:pt>
                <c:pt idx="1">
                  <c:v>(N/A)</c:v>
                </c:pt>
                <c:pt idx="2">
                  <c:v>Advertising Agencies</c:v>
                </c:pt>
                <c:pt idx="3">
                  <c:v>Architectural Services</c:v>
                </c:pt>
                <c:pt idx="4">
                  <c:v>Business Associations</c:v>
                </c:pt>
                <c:pt idx="5">
                  <c:v>Child Day Care Services</c:v>
                </c:pt>
                <c:pt idx="6">
                  <c:v>Colleges Universities And Professional Schools</c:v>
                </c:pt>
                <c:pt idx="7">
                  <c:v>Elementary and Secondary Schools</c:v>
                </c:pt>
                <c:pt idx="8">
                  <c:v>Fitness and Recreational Sports Centers</c:v>
                </c:pt>
                <c:pt idx="9">
                  <c:v>Hotels (Except Casino) and Motels</c:v>
                </c:pt>
                <c:pt idx="10">
                  <c:v>Museums</c:v>
                </c:pt>
                <c:pt idx="11">
                  <c:v>Other Community Housing Services</c:v>
                </c:pt>
                <c:pt idx="12">
                  <c:v>Other Social Advocacy Organizations</c:v>
                </c:pt>
                <c:pt idx="13">
                  <c:v>Public Relations Agencies</c:v>
                </c:pt>
                <c:pt idx="14">
                  <c:v>Religious Organizations</c:v>
                </c:pt>
                <c:pt idx="15">
                  <c:v>(Other)</c:v>
                </c:pt>
              </c:strCache>
            </c:strRef>
          </c:cat>
          <c:val>
            <c:numRef>
              <c:f>Sheet15!$B$1:$B$16</c:f>
              <c:numCache>
                <c:formatCode>0%</c:formatCode>
                <c:ptCount val="16"/>
                <c:pt idx="0">
                  <c:v>0</c:v>
                </c:pt>
                <c:pt idx="1">
                  <c:v>5.7803468208092498E-2</c:v>
                </c:pt>
                <c:pt idx="2">
                  <c:v>8.6705202312138702E-3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2.3121387283237E-2</c:v>
                </c:pt>
                <c:pt idx="7">
                  <c:v>5.7803468208092498E-2</c:v>
                </c:pt>
                <c:pt idx="8">
                  <c:v>1.44508670520231E-2</c:v>
                </c:pt>
                <c:pt idx="9">
                  <c:v>7.2254335260115599E-2</c:v>
                </c:pt>
                <c:pt idx="10">
                  <c:v>1.7341040462427699E-2</c:v>
                </c:pt>
                <c:pt idx="11">
                  <c:v>1.44508670520231E-2</c:v>
                </c:pt>
                <c:pt idx="12">
                  <c:v>2.8901734104046201E-2</c:v>
                </c:pt>
                <c:pt idx="13">
                  <c:v>1.44508670520231E-2</c:v>
                </c:pt>
                <c:pt idx="14">
                  <c:v>2.8901734104046201E-2</c:v>
                </c:pt>
                <c:pt idx="15">
                  <c:v>0.66184971098265921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A4E-4BD6-8724-A6FE427F2B85}"/>
            </c:ext>
          </c:extLst>
        </c:ser>
        <c:ser>
          <c:idx val="1"/>
          <c:order val="1"/>
          <c:spPr>
            <a:solidFill>
              <a:srgbClr val="BE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Sheet15!$A$1:$A$16</c:f>
              <c:strCache>
                <c:ptCount val="16"/>
                <c:pt idx="0">
                  <c:v>NAICS Description</c:v>
                </c:pt>
                <c:pt idx="1">
                  <c:v>(N/A)</c:v>
                </c:pt>
                <c:pt idx="2">
                  <c:v>Advertising Agencies</c:v>
                </c:pt>
                <c:pt idx="3">
                  <c:v>Architectural Services</c:v>
                </c:pt>
                <c:pt idx="4">
                  <c:v>Business Associations</c:v>
                </c:pt>
                <c:pt idx="5">
                  <c:v>Child Day Care Services</c:v>
                </c:pt>
                <c:pt idx="6">
                  <c:v>Colleges Universities And Professional Schools</c:v>
                </c:pt>
                <c:pt idx="7">
                  <c:v>Elementary and Secondary Schools</c:v>
                </c:pt>
                <c:pt idx="8">
                  <c:v>Fitness and Recreational Sports Centers</c:v>
                </c:pt>
                <c:pt idx="9">
                  <c:v>Hotels (Except Casino) and Motels</c:v>
                </c:pt>
                <c:pt idx="10">
                  <c:v>Museums</c:v>
                </c:pt>
                <c:pt idx="11">
                  <c:v>Other Community Housing Services</c:v>
                </c:pt>
                <c:pt idx="12">
                  <c:v>Other Social Advocacy Organizations</c:v>
                </c:pt>
                <c:pt idx="13">
                  <c:v>Public Relations Agencies</c:v>
                </c:pt>
                <c:pt idx="14">
                  <c:v>Religious Organizations</c:v>
                </c:pt>
                <c:pt idx="15">
                  <c:v>(Other)</c:v>
                </c:pt>
              </c:strCache>
            </c:strRef>
          </c:cat>
          <c:val>
            <c:numRef>
              <c:f>Sheet15!$C$1:$C$16</c:f>
              <c:numCache>
                <c:formatCode>0%</c:formatCode>
                <c:ptCount val="16"/>
                <c:pt idx="0">
                  <c:v>0</c:v>
                </c:pt>
                <c:pt idx="1">
                  <c:v>3.5897435897435902E-2</c:v>
                </c:pt>
                <c:pt idx="2">
                  <c:v>1.02564102564103E-2</c:v>
                </c:pt>
                <c:pt idx="3">
                  <c:v>1.5384615384615399E-2</c:v>
                </c:pt>
                <c:pt idx="4">
                  <c:v>0</c:v>
                </c:pt>
                <c:pt idx="5">
                  <c:v>1.02564102564103E-2</c:v>
                </c:pt>
                <c:pt idx="6">
                  <c:v>1.5384615384615399E-2</c:v>
                </c:pt>
                <c:pt idx="7">
                  <c:v>5.6410256410256397E-2</c:v>
                </c:pt>
                <c:pt idx="8">
                  <c:v>0</c:v>
                </c:pt>
                <c:pt idx="9">
                  <c:v>3.5897435897435902E-2</c:v>
                </c:pt>
                <c:pt idx="10">
                  <c:v>1.5384615384615399E-2</c:v>
                </c:pt>
                <c:pt idx="11">
                  <c:v>1.5384615384615399E-2</c:v>
                </c:pt>
                <c:pt idx="12">
                  <c:v>2.0512820512820499E-2</c:v>
                </c:pt>
                <c:pt idx="13">
                  <c:v>0</c:v>
                </c:pt>
                <c:pt idx="14">
                  <c:v>2.0512820512820499E-2</c:v>
                </c:pt>
                <c:pt idx="15">
                  <c:v>0.74871794871794861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A4E-4BD6-8724-A6FE427F2B85}"/>
            </c:ext>
          </c:extLst>
        </c:ser>
        <c:ser>
          <c:idx val="2"/>
          <c:order val="2"/>
          <c:spPr>
            <a:solidFill>
              <a:srgbClr val="785A8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Sheet15!$A$1:$A$16</c:f>
              <c:strCache>
                <c:ptCount val="16"/>
                <c:pt idx="0">
                  <c:v>NAICS Description</c:v>
                </c:pt>
                <c:pt idx="1">
                  <c:v>(N/A)</c:v>
                </c:pt>
                <c:pt idx="2">
                  <c:v>Advertising Agencies</c:v>
                </c:pt>
                <c:pt idx="3">
                  <c:v>Architectural Services</c:v>
                </c:pt>
                <c:pt idx="4">
                  <c:v>Business Associations</c:v>
                </c:pt>
                <c:pt idx="5">
                  <c:v>Child Day Care Services</c:v>
                </c:pt>
                <c:pt idx="6">
                  <c:v>Colleges Universities And Professional Schools</c:v>
                </c:pt>
                <c:pt idx="7">
                  <c:v>Elementary and Secondary Schools</c:v>
                </c:pt>
                <c:pt idx="8">
                  <c:v>Fitness and Recreational Sports Centers</c:v>
                </c:pt>
                <c:pt idx="9">
                  <c:v>Hotels (Except Casino) and Motels</c:v>
                </c:pt>
                <c:pt idx="10">
                  <c:v>Museums</c:v>
                </c:pt>
                <c:pt idx="11">
                  <c:v>Other Community Housing Services</c:v>
                </c:pt>
                <c:pt idx="12">
                  <c:v>Other Social Advocacy Organizations</c:v>
                </c:pt>
                <c:pt idx="13">
                  <c:v>Public Relations Agencies</c:v>
                </c:pt>
                <c:pt idx="14">
                  <c:v>Religious Organizations</c:v>
                </c:pt>
                <c:pt idx="15">
                  <c:v>(Other)</c:v>
                </c:pt>
              </c:strCache>
            </c:strRef>
          </c:cat>
          <c:val>
            <c:numRef>
              <c:f>Sheet15!$D$1:$D$16</c:f>
              <c:numCache>
                <c:formatCode>General</c:formatCode>
                <c:ptCount val="16"/>
                <c:pt idx="0">
                  <c:v>0</c:v>
                </c:pt>
                <c:pt idx="1">
                  <c:v>0.12242500000000001</c:v>
                </c:pt>
                <c:pt idx="2">
                  <c:v>0</c:v>
                </c:pt>
                <c:pt idx="3">
                  <c:v>0</c:v>
                </c:pt>
                <c:pt idx="4">
                  <c:v>1.7075E-2</c:v>
                </c:pt>
                <c:pt idx="5">
                  <c:v>0</c:v>
                </c:pt>
                <c:pt idx="6">
                  <c:v>9.5499999999999995E-3</c:v>
                </c:pt>
                <c:pt idx="7">
                  <c:v>2.6925000000000001E-2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1.1724999999999999E-2</c:v>
                </c:pt>
                <c:pt idx="13">
                  <c:v>0</c:v>
                </c:pt>
                <c:pt idx="14">
                  <c:v>1.1650000000000001E-2</c:v>
                </c:pt>
                <c:pt idx="15">
                  <c:v>0.80064999999999997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A4E-4BD6-8724-A6FE427F2B85}"/>
            </c:ext>
          </c:extLst>
        </c:ser>
        <c:ser>
          <c:idx val="3"/>
          <c:order val="3"/>
          <c:invertIfNegative val="0"/>
          <c:cat>
            <c:strRef>
              <c:f>Sheet15!$A$1:$A$16</c:f>
              <c:strCache>
                <c:ptCount val="16"/>
                <c:pt idx="0">
                  <c:v>NAICS Description</c:v>
                </c:pt>
                <c:pt idx="1">
                  <c:v>(N/A)</c:v>
                </c:pt>
                <c:pt idx="2">
                  <c:v>Advertising Agencies</c:v>
                </c:pt>
                <c:pt idx="3">
                  <c:v>Architectural Services</c:v>
                </c:pt>
                <c:pt idx="4">
                  <c:v>Business Associations</c:v>
                </c:pt>
                <c:pt idx="5">
                  <c:v>Child Day Care Services</c:v>
                </c:pt>
                <c:pt idx="6">
                  <c:v>Colleges Universities And Professional Schools</c:v>
                </c:pt>
                <c:pt idx="7">
                  <c:v>Elementary and Secondary Schools</c:v>
                </c:pt>
                <c:pt idx="8">
                  <c:v>Fitness and Recreational Sports Centers</c:v>
                </c:pt>
                <c:pt idx="9">
                  <c:v>Hotels (Except Casino) and Motels</c:v>
                </c:pt>
                <c:pt idx="10">
                  <c:v>Museums</c:v>
                </c:pt>
                <c:pt idx="11">
                  <c:v>Other Community Housing Services</c:v>
                </c:pt>
                <c:pt idx="12">
                  <c:v>Other Social Advocacy Organizations</c:v>
                </c:pt>
                <c:pt idx="13">
                  <c:v>Public Relations Agencies</c:v>
                </c:pt>
                <c:pt idx="14">
                  <c:v>Religious Organizations</c:v>
                </c:pt>
                <c:pt idx="15">
                  <c:v>(Other)</c:v>
                </c:pt>
              </c:strCache>
            </c:strRef>
          </c:cat>
          <c:val>
            <c:numRef>
              <c:f>Sheet15!$E$1:$E$16</c:f>
              <c:numCache>
                <c:formatCode>0%</c:formatCode>
                <c:ptCount val="16"/>
              </c:numCache>
            </c:numRef>
          </c:val>
          <c:extLst>
            <c:ext xmlns:c16="http://schemas.microsoft.com/office/drawing/2014/chart" uri="{C3380CC4-5D6E-409C-BE32-E72D297353CC}">
              <c16:uniqueId val="{00000008-FA4E-4BD6-8724-A6FE427F2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8445808"/>
        <c:axId val="558437608"/>
      </c:barChart>
      <c:catAx>
        <c:axId val="558445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58437608"/>
        <c:crosses val="autoZero"/>
        <c:auto val="1"/>
        <c:lblAlgn val="ctr"/>
        <c:lblOffset val="100"/>
        <c:noMultiLvlLbl val="0"/>
      </c:catAx>
      <c:valAx>
        <c:axId val="558437608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%" sourceLinked="1"/>
        <c:majorTickMark val="out"/>
        <c:minorTickMark val="none"/>
        <c:tickLblPos val="nextTo"/>
        <c:crossAx val="558445808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/>
            </a:pPr>
            <a:r>
              <a:rPr lang="en-US" sz="2000"/>
              <a:t>New Business to the Database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6EBE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Sheet16!$A$1:$A$3</c:f>
              <c:strCache>
                <c:ptCount val="3"/>
                <c:pt idx="0">
                  <c:v>New Business to the Database</c:v>
                </c:pt>
                <c:pt idx="1">
                  <c:v>No</c:v>
                </c:pt>
                <c:pt idx="2">
                  <c:v>Yes</c:v>
                </c:pt>
              </c:strCache>
            </c:strRef>
          </c:cat>
          <c:val>
            <c:numRef>
              <c:f>Sheet16!$B$1:$B$3</c:f>
              <c:numCache>
                <c:formatCode>0%</c:formatCode>
                <c:ptCount val="3"/>
                <c:pt idx="0">
                  <c:v>0</c:v>
                </c:pt>
                <c:pt idx="1">
                  <c:v>0.84971098265895995</c:v>
                </c:pt>
                <c:pt idx="2">
                  <c:v>0.15028901734104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73-4CB7-B64D-98ADE0893624}"/>
            </c:ext>
          </c:extLst>
        </c:ser>
        <c:ser>
          <c:idx val="1"/>
          <c:order val="1"/>
          <c:spPr>
            <a:solidFill>
              <a:srgbClr val="BE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Sheet16!$A$1:$A$3</c:f>
              <c:strCache>
                <c:ptCount val="3"/>
                <c:pt idx="0">
                  <c:v>New Business to the Database</c:v>
                </c:pt>
                <c:pt idx="1">
                  <c:v>No</c:v>
                </c:pt>
                <c:pt idx="2">
                  <c:v>Yes</c:v>
                </c:pt>
              </c:strCache>
            </c:strRef>
          </c:cat>
          <c:val>
            <c:numRef>
              <c:f>Sheet16!$C$1:$C$3</c:f>
              <c:numCache>
                <c:formatCode>0%</c:formatCode>
                <c:ptCount val="3"/>
                <c:pt idx="0">
                  <c:v>0</c:v>
                </c:pt>
                <c:pt idx="1">
                  <c:v>0.85641025641025603</c:v>
                </c:pt>
                <c:pt idx="2">
                  <c:v>0.143589743589744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73-4CB7-B64D-98ADE0893624}"/>
            </c:ext>
          </c:extLst>
        </c:ser>
        <c:ser>
          <c:idx val="2"/>
          <c:order val="2"/>
          <c:spPr>
            <a:solidFill>
              <a:srgbClr val="785A8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Sheet16!$A$1:$A$3</c:f>
              <c:strCache>
                <c:ptCount val="3"/>
                <c:pt idx="0">
                  <c:v>New Business to the Database</c:v>
                </c:pt>
                <c:pt idx="1">
                  <c:v>No</c:v>
                </c:pt>
                <c:pt idx="2">
                  <c:v>Yes</c:v>
                </c:pt>
              </c:strCache>
            </c:strRef>
          </c:cat>
          <c:val>
            <c:numRef>
              <c:f>Sheet16!$D$1:$D$3</c:f>
              <c:numCache>
                <c:formatCode>General</c:formatCode>
                <c:ptCount val="3"/>
                <c:pt idx="0">
                  <c:v>0</c:v>
                </c:pt>
                <c:pt idx="1">
                  <c:v>0.97655000000000003</c:v>
                </c:pt>
                <c:pt idx="2">
                  <c:v>2.3449999999999999E-2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A73-4CB7-B64D-98ADE0893624}"/>
            </c:ext>
          </c:extLst>
        </c:ser>
        <c:ser>
          <c:idx val="3"/>
          <c:order val="3"/>
          <c:invertIfNegative val="0"/>
          <c:cat>
            <c:strRef>
              <c:f>Sheet16!$A$1:$A$3</c:f>
              <c:strCache>
                <c:ptCount val="3"/>
                <c:pt idx="0">
                  <c:v>New Business to the Database</c:v>
                </c:pt>
                <c:pt idx="1">
                  <c:v>No</c:v>
                </c:pt>
                <c:pt idx="2">
                  <c:v>Yes</c:v>
                </c:pt>
              </c:strCache>
            </c:strRef>
          </c:cat>
          <c:val>
            <c:numRef>
              <c:f>Sheet16!$E$1:$E$3</c:f>
              <c:numCache>
                <c:formatCode>0%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5-FA73-4CB7-B64D-98ADE089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8973272"/>
        <c:axId val="378973600"/>
      </c:barChart>
      <c:catAx>
        <c:axId val="378973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8973600"/>
        <c:crosses val="autoZero"/>
        <c:auto val="1"/>
        <c:lblAlgn val="ctr"/>
        <c:lblOffset val="100"/>
        <c:noMultiLvlLbl val="0"/>
      </c:catAx>
      <c:valAx>
        <c:axId val="378973600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%" sourceLinked="1"/>
        <c:majorTickMark val="out"/>
        <c:minorTickMark val="none"/>
        <c:tickLblPos val="nextTo"/>
        <c:crossAx val="378973272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/>
            </a:pPr>
            <a:r>
              <a:rPr lang="en-US" sz="2000"/>
              <a:t>Phone Verified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6EBE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Sheet17!$A$1:$A$3</c:f>
              <c:strCache>
                <c:ptCount val="3"/>
                <c:pt idx="0">
                  <c:v>Phone Verified</c:v>
                </c:pt>
                <c:pt idx="1">
                  <c:v>No</c:v>
                </c:pt>
                <c:pt idx="2">
                  <c:v>Yes</c:v>
                </c:pt>
              </c:strCache>
            </c:strRef>
          </c:cat>
          <c:val>
            <c:numRef>
              <c:f>Sheet17!$B$1:$B$3</c:f>
              <c:numCache>
                <c:formatCode>0%</c:formatCode>
                <c:ptCount val="3"/>
                <c:pt idx="0">
                  <c:v>0</c:v>
                </c:pt>
                <c:pt idx="1">
                  <c:v>0.39306358381502898</c:v>
                </c:pt>
                <c:pt idx="2">
                  <c:v>0.60693641618497096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4B-47E7-B8CA-7A8559B0B569}"/>
            </c:ext>
          </c:extLst>
        </c:ser>
        <c:ser>
          <c:idx val="1"/>
          <c:order val="1"/>
          <c:spPr>
            <a:solidFill>
              <a:srgbClr val="BE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Sheet17!$A$1:$A$3</c:f>
              <c:strCache>
                <c:ptCount val="3"/>
                <c:pt idx="0">
                  <c:v>Phone Verified</c:v>
                </c:pt>
                <c:pt idx="1">
                  <c:v>No</c:v>
                </c:pt>
                <c:pt idx="2">
                  <c:v>Yes</c:v>
                </c:pt>
              </c:strCache>
            </c:strRef>
          </c:cat>
          <c:val>
            <c:numRef>
              <c:f>Sheet17!$C$1:$C$3</c:f>
              <c:numCache>
                <c:formatCode>0%</c:formatCode>
                <c:ptCount val="3"/>
                <c:pt idx="0">
                  <c:v>0</c:v>
                </c:pt>
                <c:pt idx="1">
                  <c:v>0.30256410256410299</c:v>
                </c:pt>
                <c:pt idx="2">
                  <c:v>0.69743589743589696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14B-47E7-B8CA-7A8559B0B569}"/>
            </c:ext>
          </c:extLst>
        </c:ser>
        <c:ser>
          <c:idx val="2"/>
          <c:order val="2"/>
          <c:spPr>
            <a:solidFill>
              <a:srgbClr val="785A8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Sheet17!$A$1:$A$3</c:f>
              <c:strCache>
                <c:ptCount val="3"/>
                <c:pt idx="0">
                  <c:v>Phone Verified</c:v>
                </c:pt>
                <c:pt idx="1">
                  <c:v>No</c:v>
                </c:pt>
                <c:pt idx="2">
                  <c:v>Yes</c:v>
                </c:pt>
              </c:strCache>
            </c:strRef>
          </c:cat>
          <c:val>
            <c:numRef>
              <c:f>Sheet17!$D$1:$D$3</c:f>
              <c:numCache>
                <c:formatCode>General</c:formatCode>
                <c:ptCount val="3"/>
                <c:pt idx="0">
                  <c:v>0</c:v>
                </c:pt>
                <c:pt idx="1">
                  <c:v>0.60909999999999997</c:v>
                </c:pt>
                <c:pt idx="2">
                  <c:v>0.39090000000000003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14B-47E7-B8CA-7A8559B0B569}"/>
            </c:ext>
          </c:extLst>
        </c:ser>
        <c:ser>
          <c:idx val="3"/>
          <c:order val="3"/>
          <c:invertIfNegative val="0"/>
          <c:cat>
            <c:strRef>
              <c:f>Sheet17!$A$1:$A$3</c:f>
              <c:strCache>
                <c:ptCount val="3"/>
                <c:pt idx="0">
                  <c:v>Phone Verified</c:v>
                </c:pt>
                <c:pt idx="1">
                  <c:v>No</c:v>
                </c:pt>
                <c:pt idx="2">
                  <c:v>Yes</c:v>
                </c:pt>
              </c:strCache>
            </c:strRef>
          </c:cat>
          <c:val>
            <c:numRef>
              <c:f>Sheet17!$E$1:$E$3</c:f>
              <c:numCache>
                <c:formatCode>0%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5-314B-47E7-B8CA-7A8559B0B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2540176"/>
        <c:axId val="562535256"/>
      </c:barChart>
      <c:catAx>
        <c:axId val="562540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2535256"/>
        <c:crosses val="autoZero"/>
        <c:auto val="1"/>
        <c:lblAlgn val="ctr"/>
        <c:lblOffset val="100"/>
        <c:noMultiLvlLbl val="0"/>
      </c:catAx>
      <c:valAx>
        <c:axId val="562535256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%" sourceLinked="1"/>
        <c:majorTickMark val="out"/>
        <c:minorTickMark val="none"/>
        <c:tickLblPos val="nextTo"/>
        <c:crossAx val="562540176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/>
            </a:pPr>
            <a:r>
              <a:rPr lang="en-US" sz="2000"/>
              <a:t>Public or Private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6EBE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Sheet18!$A$1:$A$3</c:f>
              <c:strCache>
                <c:ptCount val="3"/>
                <c:pt idx="0">
                  <c:v>Public or Private</c:v>
                </c:pt>
                <c:pt idx="1">
                  <c:v>Public</c:v>
                </c:pt>
                <c:pt idx="2">
                  <c:v>Private</c:v>
                </c:pt>
              </c:strCache>
            </c:strRef>
          </c:cat>
          <c:val>
            <c:numRef>
              <c:f>Sheet18!$B$1:$B$3</c:f>
              <c:numCache>
                <c:formatCode>0%</c:formatCode>
                <c:ptCount val="3"/>
                <c:pt idx="0">
                  <c:v>0</c:v>
                </c:pt>
                <c:pt idx="1">
                  <c:v>3.7572254335260097E-2</c:v>
                </c:pt>
                <c:pt idx="2">
                  <c:v>0.96242774566473999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29B-4FB0-A421-15B4FAA5AF5F}"/>
            </c:ext>
          </c:extLst>
        </c:ser>
        <c:ser>
          <c:idx val="1"/>
          <c:order val="1"/>
          <c:spPr>
            <a:solidFill>
              <a:srgbClr val="BE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Sheet18!$A$1:$A$3</c:f>
              <c:strCache>
                <c:ptCount val="3"/>
                <c:pt idx="0">
                  <c:v>Public or Private</c:v>
                </c:pt>
                <c:pt idx="1">
                  <c:v>Public</c:v>
                </c:pt>
                <c:pt idx="2">
                  <c:v>Private</c:v>
                </c:pt>
              </c:strCache>
            </c:strRef>
          </c:cat>
          <c:val>
            <c:numRef>
              <c:f>Sheet18!$C$1:$C$3</c:f>
              <c:numCache>
                <c:formatCode>0%</c:formatCode>
                <c:ptCount val="3"/>
                <c:pt idx="0">
                  <c:v>0</c:v>
                </c:pt>
                <c:pt idx="1">
                  <c:v>9.2307692307692299E-2</c:v>
                </c:pt>
                <c:pt idx="2">
                  <c:v>0.90769230769230802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9B-4FB0-A421-15B4FAA5AF5F}"/>
            </c:ext>
          </c:extLst>
        </c:ser>
        <c:ser>
          <c:idx val="2"/>
          <c:order val="2"/>
          <c:spPr>
            <a:solidFill>
              <a:srgbClr val="785A8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Sheet18!$A$1:$A$3</c:f>
              <c:strCache>
                <c:ptCount val="3"/>
                <c:pt idx="0">
                  <c:v>Public or Private</c:v>
                </c:pt>
                <c:pt idx="1">
                  <c:v>Public</c:v>
                </c:pt>
                <c:pt idx="2">
                  <c:v>Private</c:v>
                </c:pt>
              </c:strCache>
            </c:strRef>
          </c:cat>
          <c:val>
            <c:numRef>
              <c:f>Sheet18!$D$1:$D$3</c:f>
              <c:numCache>
                <c:formatCode>General</c:formatCode>
                <c:ptCount val="3"/>
                <c:pt idx="0">
                  <c:v>0</c:v>
                </c:pt>
                <c:pt idx="1">
                  <c:v>3.8399999999999997E-2</c:v>
                </c:pt>
                <c:pt idx="2">
                  <c:v>0.96160000000000001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29B-4FB0-A421-15B4FAA5AF5F}"/>
            </c:ext>
          </c:extLst>
        </c:ser>
        <c:ser>
          <c:idx val="3"/>
          <c:order val="3"/>
          <c:invertIfNegative val="0"/>
          <c:cat>
            <c:strRef>
              <c:f>Sheet18!$A$1:$A$3</c:f>
              <c:strCache>
                <c:ptCount val="3"/>
                <c:pt idx="0">
                  <c:v>Public or Private</c:v>
                </c:pt>
                <c:pt idx="1">
                  <c:v>Public</c:v>
                </c:pt>
                <c:pt idx="2">
                  <c:v>Private</c:v>
                </c:pt>
              </c:strCache>
            </c:strRef>
          </c:cat>
          <c:val>
            <c:numRef>
              <c:f>Sheet18!$E$1:$E$3</c:f>
              <c:numCache>
                <c:formatCode>0%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5-D29B-4FB0-A421-15B4FAA5AF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8621024"/>
        <c:axId val="378623976"/>
      </c:barChart>
      <c:catAx>
        <c:axId val="378621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8623976"/>
        <c:crosses val="autoZero"/>
        <c:auto val="1"/>
        <c:lblAlgn val="ctr"/>
        <c:lblOffset val="100"/>
        <c:noMultiLvlLbl val="0"/>
      </c:catAx>
      <c:valAx>
        <c:axId val="378623976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%" sourceLinked="1"/>
        <c:majorTickMark val="out"/>
        <c:minorTickMark val="none"/>
        <c:tickLblPos val="nextTo"/>
        <c:crossAx val="378621024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/>
            </a:pPr>
            <a:r>
              <a:rPr lang="en-US" sz="2000"/>
              <a:t>SIC2 Description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6EBE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Sheet19!$A$1:$A$13</c:f>
              <c:strCache>
                <c:ptCount val="13"/>
                <c:pt idx="0">
                  <c:v>SIC2 Description</c:v>
                </c:pt>
                <c:pt idx="1">
                  <c:v>Amusement &amp; Recreation Services</c:v>
                </c:pt>
                <c:pt idx="2">
                  <c:v>Apparel And Accessory Stores</c:v>
                </c:pt>
                <c:pt idx="3">
                  <c:v>Educational Services</c:v>
                </c:pt>
                <c:pt idx="4">
                  <c:v>Engineering &amp; Management Services</c:v>
                </c:pt>
                <c:pt idx="5">
                  <c:v>Holding And Other Investment Offices</c:v>
                </c:pt>
                <c:pt idx="6">
                  <c:v>Hotels And Other Lodging Places</c:v>
                </c:pt>
                <c:pt idx="7">
                  <c:v>Membership Organizations</c:v>
                </c:pt>
                <c:pt idx="8">
                  <c:v>Museums Botanical Zoological Gardens</c:v>
                </c:pt>
                <c:pt idx="9">
                  <c:v>Social Services</c:v>
                </c:pt>
                <c:pt idx="10">
                  <c:v>Security And Commodity Brokers</c:v>
                </c:pt>
                <c:pt idx="11">
                  <c:v>Holding And Other Investment Offices</c:v>
                </c:pt>
                <c:pt idx="12">
                  <c:v>(Other)</c:v>
                </c:pt>
              </c:strCache>
            </c:strRef>
          </c:cat>
          <c:val>
            <c:numRef>
              <c:f>Sheet19!$B$1:$B$13</c:f>
              <c:numCache>
                <c:formatCode>0%</c:formatCode>
                <c:ptCount val="13"/>
                <c:pt idx="0">
                  <c:v>0</c:v>
                </c:pt>
                <c:pt idx="1">
                  <c:v>3.17919075144509E-2</c:v>
                </c:pt>
                <c:pt idx="2">
                  <c:v>2.3121387283237E-2</c:v>
                </c:pt>
                <c:pt idx="3">
                  <c:v>9.8265895953757204E-2</c:v>
                </c:pt>
                <c:pt idx="4">
                  <c:v>0.11271676300578</c:v>
                </c:pt>
                <c:pt idx="5">
                  <c:v>1.15606936416185E-2</c:v>
                </c:pt>
                <c:pt idx="6">
                  <c:v>7.80346820809249E-2</c:v>
                </c:pt>
                <c:pt idx="7">
                  <c:v>4.3352601156069398E-2</c:v>
                </c:pt>
                <c:pt idx="8">
                  <c:v>2.0231213872832401E-2</c:v>
                </c:pt>
                <c:pt idx="9">
                  <c:v>6.9364161849711004E-2</c:v>
                </c:pt>
                <c:pt idx="10">
                  <c:v>3.17919075144509E-2</c:v>
                </c:pt>
                <c:pt idx="11">
                  <c:v>1.15606936416185E-2</c:v>
                </c:pt>
                <c:pt idx="12">
                  <c:v>0.46820809248554929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4D0-4532-BF58-288FD271B344}"/>
            </c:ext>
          </c:extLst>
        </c:ser>
        <c:ser>
          <c:idx val="1"/>
          <c:order val="1"/>
          <c:spPr>
            <a:solidFill>
              <a:srgbClr val="BE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Sheet19!$A$1:$A$13</c:f>
              <c:strCache>
                <c:ptCount val="13"/>
                <c:pt idx="0">
                  <c:v>SIC2 Description</c:v>
                </c:pt>
                <c:pt idx="1">
                  <c:v>Amusement &amp; Recreation Services</c:v>
                </c:pt>
                <c:pt idx="2">
                  <c:v>Apparel And Accessory Stores</c:v>
                </c:pt>
                <c:pt idx="3">
                  <c:v>Educational Services</c:v>
                </c:pt>
                <c:pt idx="4">
                  <c:v>Engineering &amp; Management Services</c:v>
                </c:pt>
                <c:pt idx="5">
                  <c:v>Holding And Other Investment Offices</c:v>
                </c:pt>
                <c:pt idx="6">
                  <c:v>Hotels And Other Lodging Places</c:v>
                </c:pt>
                <c:pt idx="7">
                  <c:v>Membership Organizations</c:v>
                </c:pt>
                <c:pt idx="8">
                  <c:v>Museums Botanical Zoological Gardens</c:v>
                </c:pt>
                <c:pt idx="9">
                  <c:v>Social Services</c:v>
                </c:pt>
                <c:pt idx="10">
                  <c:v>Security And Commodity Brokers</c:v>
                </c:pt>
                <c:pt idx="11">
                  <c:v>Holding And Other Investment Offices</c:v>
                </c:pt>
                <c:pt idx="12">
                  <c:v>(Other)</c:v>
                </c:pt>
              </c:strCache>
            </c:strRef>
          </c:cat>
          <c:val>
            <c:numRef>
              <c:f>Sheet19!$C$1:$C$13</c:f>
              <c:numCache>
                <c:formatCode>0%</c:formatCode>
                <c:ptCount val="13"/>
                <c:pt idx="0">
                  <c:v>0</c:v>
                </c:pt>
                <c:pt idx="1">
                  <c:v>1.5384615384615399E-2</c:v>
                </c:pt>
                <c:pt idx="2">
                  <c:v>2.0512820512820499E-2</c:v>
                </c:pt>
                <c:pt idx="3">
                  <c:v>8.2051282051282107E-2</c:v>
                </c:pt>
                <c:pt idx="4">
                  <c:v>9.7435897435897395E-2</c:v>
                </c:pt>
                <c:pt idx="5">
                  <c:v>1.5384615384615399E-2</c:v>
                </c:pt>
                <c:pt idx="6">
                  <c:v>3.5897435897435902E-2</c:v>
                </c:pt>
                <c:pt idx="7">
                  <c:v>3.5897435897435902E-2</c:v>
                </c:pt>
                <c:pt idx="8">
                  <c:v>1.5384615384615399E-2</c:v>
                </c:pt>
                <c:pt idx="9">
                  <c:v>7.69230769230769E-2</c:v>
                </c:pt>
                <c:pt idx="10">
                  <c:v>5.6410256410256397E-2</c:v>
                </c:pt>
                <c:pt idx="11">
                  <c:v>1.5384615384615399E-2</c:v>
                </c:pt>
                <c:pt idx="12">
                  <c:v>0.53333333333333344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4D0-4532-BF58-288FD271B344}"/>
            </c:ext>
          </c:extLst>
        </c:ser>
        <c:ser>
          <c:idx val="2"/>
          <c:order val="2"/>
          <c:spPr>
            <a:solidFill>
              <a:srgbClr val="785A8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Sheet19!$A$1:$A$13</c:f>
              <c:strCache>
                <c:ptCount val="13"/>
                <c:pt idx="0">
                  <c:v>SIC2 Description</c:v>
                </c:pt>
                <c:pt idx="1">
                  <c:v>Amusement &amp; Recreation Services</c:v>
                </c:pt>
                <c:pt idx="2">
                  <c:v>Apparel And Accessory Stores</c:v>
                </c:pt>
                <c:pt idx="3">
                  <c:v>Educational Services</c:v>
                </c:pt>
                <c:pt idx="4">
                  <c:v>Engineering &amp; Management Services</c:v>
                </c:pt>
                <c:pt idx="5">
                  <c:v>Holding And Other Investment Offices</c:v>
                </c:pt>
                <c:pt idx="6">
                  <c:v>Hotels And Other Lodging Places</c:v>
                </c:pt>
                <c:pt idx="7">
                  <c:v>Membership Organizations</c:v>
                </c:pt>
                <c:pt idx="8">
                  <c:v>Museums Botanical Zoological Gardens</c:v>
                </c:pt>
                <c:pt idx="9">
                  <c:v>Social Services</c:v>
                </c:pt>
                <c:pt idx="10">
                  <c:v>Security And Commodity Brokers</c:v>
                </c:pt>
                <c:pt idx="11">
                  <c:v>Holding And Other Investment Offices</c:v>
                </c:pt>
                <c:pt idx="12">
                  <c:v>(Other)</c:v>
                </c:pt>
              </c:strCache>
            </c:strRef>
          </c:cat>
          <c:val>
            <c:numRef>
              <c:f>Sheet19!$D$1:$D$13</c:f>
              <c:numCache>
                <c:formatCode>General</c:formatCode>
                <c:ptCount val="13"/>
                <c:pt idx="0">
                  <c:v>0</c:v>
                </c:pt>
                <c:pt idx="1">
                  <c:v>9.9749999999999995E-3</c:v>
                </c:pt>
                <c:pt idx="2">
                  <c:v>0</c:v>
                </c:pt>
                <c:pt idx="3">
                  <c:v>4.4650000000000002E-2</c:v>
                </c:pt>
                <c:pt idx="4">
                  <c:v>7.6975000000000002E-2</c:v>
                </c:pt>
                <c:pt idx="5">
                  <c:v>0</c:v>
                </c:pt>
                <c:pt idx="6">
                  <c:v>0</c:v>
                </c:pt>
                <c:pt idx="7">
                  <c:v>4.1149999999999999E-2</c:v>
                </c:pt>
                <c:pt idx="8">
                  <c:v>0</c:v>
                </c:pt>
                <c:pt idx="9">
                  <c:v>2.7924999999999998E-2</c:v>
                </c:pt>
                <c:pt idx="10">
                  <c:v>1.2149999999999999E-2</c:v>
                </c:pt>
                <c:pt idx="11">
                  <c:v>0</c:v>
                </c:pt>
                <c:pt idx="12">
                  <c:v>0.78717499999999996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4D0-4532-BF58-288FD271B344}"/>
            </c:ext>
          </c:extLst>
        </c:ser>
        <c:ser>
          <c:idx val="3"/>
          <c:order val="3"/>
          <c:invertIfNegative val="0"/>
          <c:cat>
            <c:strRef>
              <c:f>Sheet19!$A$1:$A$13</c:f>
              <c:strCache>
                <c:ptCount val="13"/>
                <c:pt idx="0">
                  <c:v>SIC2 Description</c:v>
                </c:pt>
                <c:pt idx="1">
                  <c:v>Amusement &amp; Recreation Services</c:v>
                </c:pt>
                <c:pt idx="2">
                  <c:v>Apparel And Accessory Stores</c:v>
                </c:pt>
                <c:pt idx="3">
                  <c:v>Educational Services</c:v>
                </c:pt>
                <c:pt idx="4">
                  <c:v>Engineering &amp; Management Services</c:v>
                </c:pt>
                <c:pt idx="5">
                  <c:v>Holding And Other Investment Offices</c:v>
                </c:pt>
                <c:pt idx="6">
                  <c:v>Hotels And Other Lodging Places</c:v>
                </c:pt>
                <c:pt idx="7">
                  <c:v>Membership Organizations</c:v>
                </c:pt>
                <c:pt idx="8">
                  <c:v>Museums Botanical Zoological Gardens</c:v>
                </c:pt>
                <c:pt idx="9">
                  <c:v>Social Services</c:v>
                </c:pt>
                <c:pt idx="10">
                  <c:v>Security And Commodity Brokers</c:v>
                </c:pt>
                <c:pt idx="11">
                  <c:v>Holding And Other Investment Offices</c:v>
                </c:pt>
                <c:pt idx="12">
                  <c:v>(Other)</c:v>
                </c:pt>
              </c:strCache>
            </c:strRef>
          </c:cat>
          <c:val>
            <c:numRef>
              <c:f>Sheet19!$E$1:$E$13</c:f>
              <c:numCache>
                <c:formatCode>0%</c:formatCode>
                <c:ptCount val="13"/>
              </c:numCache>
            </c:numRef>
          </c:val>
          <c:extLst>
            <c:ext xmlns:c16="http://schemas.microsoft.com/office/drawing/2014/chart" uri="{C3380CC4-5D6E-409C-BE32-E72D297353CC}">
              <c16:uniqueId val="{00000006-F4D0-4532-BF58-288FD271B3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2668072"/>
        <c:axId val="372672664"/>
      </c:barChart>
      <c:catAx>
        <c:axId val="372668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2672664"/>
        <c:crosses val="autoZero"/>
        <c:auto val="1"/>
        <c:lblAlgn val="ctr"/>
        <c:lblOffset val="100"/>
        <c:noMultiLvlLbl val="0"/>
      </c:catAx>
      <c:valAx>
        <c:axId val="372672664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%" sourceLinked="1"/>
        <c:majorTickMark val="out"/>
        <c:minorTickMark val="none"/>
        <c:tickLblPos val="nextTo"/>
        <c:crossAx val="372668072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/>
            </a:pPr>
            <a:r>
              <a:rPr lang="en-US" sz="2000"/>
              <a:t>Small Office/Home Office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6EBE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Sheet20!$A$1:$A$3</c:f>
              <c:strCache>
                <c:ptCount val="3"/>
                <c:pt idx="0">
                  <c:v>Small Office/Home Office</c:v>
                </c:pt>
                <c:pt idx="1">
                  <c:v>No</c:v>
                </c:pt>
                <c:pt idx="2">
                  <c:v>Yes</c:v>
                </c:pt>
              </c:strCache>
            </c:strRef>
          </c:cat>
          <c:val>
            <c:numRef>
              <c:f>Sheet20!$B$1:$B$3</c:f>
              <c:numCache>
                <c:formatCode>0%</c:formatCode>
                <c:ptCount val="3"/>
                <c:pt idx="0">
                  <c:v>0</c:v>
                </c:pt>
                <c:pt idx="1">
                  <c:v>0.96531791907514497</c:v>
                </c:pt>
                <c:pt idx="2">
                  <c:v>3.4682080924855502E-2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98-4DE6-8012-CF856A14C144}"/>
            </c:ext>
          </c:extLst>
        </c:ser>
        <c:ser>
          <c:idx val="1"/>
          <c:order val="1"/>
          <c:spPr>
            <a:solidFill>
              <a:srgbClr val="BE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Sheet20!$A$1:$A$3</c:f>
              <c:strCache>
                <c:ptCount val="3"/>
                <c:pt idx="0">
                  <c:v>Small Office/Home Office</c:v>
                </c:pt>
                <c:pt idx="1">
                  <c:v>No</c:v>
                </c:pt>
                <c:pt idx="2">
                  <c:v>Yes</c:v>
                </c:pt>
              </c:strCache>
            </c:strRef>
          </c:cat>
          <c:val>
            <c:numRef>
              <c:f>Sheet20!$C$1:$C$3</c:f>
              <c:numCache>
                <c:formatCode>0%</c:formatCode>
                <c:ptCount val="3"/>
                <c:pt idx="0">
                  <c:v>0</c:v>
                </c:pt>
                <c:pt idx="1">
                  <c:v>0.95384615384615401</c:v>
                </c:pt>
                <c:pt idx="2">
                  <c:v>4.6153846153846198E-2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98-4DE6-8012-CF856A14C144}"/>
            </c:ext>
          </c:extLst>
        </c:ser>
        <c:ser>
          <c:idx val="2"/>
          <c:order val="2"/>
          <c:spPr>
            <a:solidFill>
              <a:srgbClr val="785A8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Sheet20!$A$1:$A$3</c:f>
              <c:strCache>
                <c:ptCount val="3"/>
                <c:pt idx="0">
                  <c:v>Small Office/Home Office</c:v>
                </c:pt>
                <c:pt idx="1">
                  <c:v>No</c:v>
                </c:pt>
                <c:pt idx="2">
                  <c:v>Yes</c:v>
                </c:pt>
              </c:strCache>
            </c:strRef>
          </c:cat>
          <c:val>
            <c:numRef>
              <c:f>Sheet20!$D$1:$D$3</c:f>
              <c:numCache>
                <c:formatCode>General</c:formatCode>
                <c:ptCount val="3"/>
                <c:pt idx="0">
                  <c:v>0</c:v>
                </c:pt>
                <c:pt idx="1">
                  <c:v>0.63429999999999997</c:v>
                </c:pt>
                <c:pt idx="2">
                  <c:v>0.36570000000000003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98-4DE6-8012-CF856A14C144}"/>
            </c:ext>
          </c:extLst>
        </c:ser>
        <c:ser>
          <c:idx val="3"/>
          <c:order val="3"/>
          <c:invertIfNegative val="0"/>
          <c:cat>
            <c:strRef>
              <c:f>Sheet20!$A$1:$A$3</c:f>
              <c:strCache>
                <c:ptCount val="3"/>
                <c:pt idx="0">
                  <c:v>Small Office/Home Office</c:v>
                </c:pt>
                <c:pt idx="1">
                  <c:v>No</c:v>
                </c:pt>
                <c:pt idx="2">
                  <c:v>Yes</c:v>
                </c:pt>
              </c:strCache>
            </c:strRef>
          </c:cat>
          <c:val>
            <c:numRef>
              <c:f>Sheet20!$E$1:$E$3</c:f>
              <c:numCache>
                <c:formatCode>0%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5-0C98-4DE6-8012-CF856A14C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2529024"/>
        <c:axId val="562531320"/>
      </c:barChart>
      <c:catAx>
        <c:axId val="562529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62531320"/>
        <c:crosses val="autoZero"/>
        <c:auto val="1"/>
        <c:lblAlgn val="ctr"/>
        <c:lblOffset val="100"/>
        <c:noMultiLvlLbl val="0"/>
      </c:catAx>
      <c:valAx>
        <c:axId val="562531320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%" sourceLinked="1"/>
        <c:majorTickMark val="out"/>
        <c:minorTickMark val="none"/>
        <c:tickLblPos val="nextTo"/>
        <c:crossAx val="562529024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/>
            </a:pPr>
            <a:r>
              <a:rPr lang="en-US" sz="2000"/>
              <a:t>Contact Title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6EBE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Sheet21!$A$1:$A$12</c:f>
              <c:strCache>
                <c:ptCount val="12"/>
                <c:pt idx="0">
                  <c:v>Contact Title</c:v>
                </c:pt>
                <c:pt idx="1">
                  <c:v>(N/A)</c:v>
                </c:pt>
                <c:pt idx="2">
                  <c:v>CFO</c:v>
                </c:pt>
                <c:pt idx="3">
                  <c:v>CONTROLLER</c:v>
                </c:pt>
                <c:pt idx="4">
                  <c:v>COO</c:v>
                </c:pt>
                <c:pt idx="5">
                  <c:v>COORDINATOR</c:v>
                </c:pt>
                <c:pt idx="6">
                  <c:v>CTO</c:v>
                </c:pt>
                <c:pt idx="7">
                  <c:v>DIRECTOR</c:v>
                </c:pt>
                <c:pt idx="8">
                  <c:v>EXECUTIVE DIRECTOR</c:v>
                </c:pt>
                <c:pt idx="9">
                  <c:v>EXECUTIVE VICE PRESIDENT</c:v>
                </c:pt>
                <c:pt idx="10">
                  <c:v>RELIGIOUS LEADER</c:v>
                </c:pt>
                <c:pt idx="11">
                  <c:v>(Other)</c:v>
                </c:pt>
              </c:strCache>
            </c:strRef>
          </c:cat>
          <c:val>
            <c:numRef>
              <c:f>Sheet21!$B$1:$B$12</c:f>
              <c:numCache>
                <c:formatCode>0%</c:formatCode>
                <c:ptCount val="12"/>
                <c:pt idx="0">
                  <c:v>0</c:v>
                </c:pt>
                <c:pt idx="1">
                  <c:v>2.8901734104046201E-2</c:v>
                </c:pt>
                <c:pt idx="2">
                  <c:v>2.0231213872832401E-2</c:v>
                </c:pt>
                <c:pt idx="3">
                  <c:v>3.17919075144509E-2</c:v>
                </c:pt>
                <c:pt idx="4">
                  <c:v>1.15606936416185E-2</c:v>
                </c:pt>
                <c:pt idx="5">
                  <c:v>5.78034682080925E-3</c:v>
                </c:pt>
                <c:pt idx="6">
                  <c:v>1.44508670520231E-2</c:v>
                </c:pt>
                <c:pt idx="7">
                  <c:v>8.6705202312138699E-2</c:v>
                </c:pt>
                <c:pt idx="8">
                  <c:v>2.0231213872832401E-2</c:v>
                </c:pt>
                <c:pt idx="9">
                  <c:v>1.44508670520231E-2</c:v>
                </c:pt>
                <c:pt idx="10">
                  <c:v>1.15606936416185E-2</c:v>
                </c:pt>
                <c:pt idx="11">
                  <c:v>0.75433526011560703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50F-45AE-90BD-30626A524E6F}"/>
            </c:ext>
          </c:extLst>
        </c:ser>
        <c:ser>
          <c:idx val="1"/>
          <c:order val="1"/>
          <c:spPr>
            <a:solidFill>
              <a:srgbClr val="BE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Sheet21!$A$1:$A$12</c:f>
              <c:strCache>
                <c:ptCount val="12"/>
                <c:pt idx="0">
                  <c:v>Contact Title</c:v>
                </c:pt>
                <c:pt idx="1">
                  <c:v>(N/A)</c:v>
                </c:pt>
                <c:pt idx="2">
                  <c:v>CFO</c:v>
                </c:pt>
                <c:pt idx="3">
                  <c:v>CONTROLLER</c:v>
                </c:pt>
                <c:pt idx="4">
                  <c:v>COO</c:v>
                </c:pt>
                <c:pt idx="5">
                  <c:v>COORDINATOR</c:v>
                </c:pt>
                <c:pt idx="6">
                  <c:v>CTO</c:v>
                </c:pt>
                <c:pt idx="7">
                  <c:v>DIRECTOR</c:v>
                </c:pt>
                <c:pt idx="8">
                  <c:v>EXECUTIVE DIRECTOR</c:v>
                </c:pt>
                <c:pt idx="9">
                  <c:v>EXECUTIVE VICE PRESIDENT</c:v>
                </c:pt>
                <c:pt idx="10">
                  <c:v>RELIGIOUS LEADER</c:v>
                </c:pt>
                <c:pt idx="11">
                  <c:v>(Other)</c:v>
                </c:pt>
              </c:strCache>
            </c:strRef>
          </c:cat>
          <c:val>
            <c:numRef>
              <c:f>Sheet21!$C$1:$C$12</c:f>
              <c:numCache>
                <c:formatCode>0%</c:formatCode>
                <c:ptCount val="12"/>
                <c:pt idx="0">
                  <c:v>0</c:v>
                </c:pt>
                <c:pt idx="1">
                  <c:v>3.5897435897435902E-2</c:v>
                </c:pt>
                <c:pt idx="2">
                  <c:v>1.5384615384615399E-2</c:v>
                </c:pt>
                <c:pt idx="3">
                  <c:v>2.0512820512820499E-2</c:v>
                </c:pt>
                <c:pt idx="4">
                  <c:v>2.5641025641025599E-2</c:v>
                </c:pt>
                <c:pt idx="5">
                  <c:v>1.02564102564103E-2</c:v>
                </c:pt>
                <c:pt idx="6">
                  <c:v>1.02564102564103E-2</c:v>
                </c:pt>
                <c:pt idx="7">
                  <c:v>0.107692307692308</c:v>
                </c:pt>
                <c:pt idx="8">
                  <c:v>1.5384615384615399E-2</c:v>
                </c:pt>
                <c:pt idx="9">
                  <c:v>2.0512820512820499E-2</c:v>
                </c:pt>
                <c:pt idx="10">
                  <c:v>0</c:v>
                </c:pt>
                <c:pt idx="11">
                  <c:v>0.73846153846153806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50F-45AE-90BD-30626A524E6F}"/>
            </c:ext>
          </c:extLst>
        </c:ser>
        <c:ser>
          <c:idx val="2"/>
          <c:order val="2"/>
          <c:spPr>
            <a:solidFill>
              <a:srgbClr val="785A8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Sheet21!$A$1:$A$12</c:f>
              <c:strCache>
                <c:ptCount val="12"/>
                <c:pt idx="0">
                  <c:v>Contact Title</c:v>
                </c:pt>
                <c:pt idx="1">
                  <c:v>(N/A)</c:v>
                </c:pt>
                <c:pt idx="2">
                  <c:v>CFO</c:v>
                </c:pt>
                <c:pt idx="3">
                  <c:v>CONTROLLER</c:v>
                </c:pt>
                <c:pt idx="4">
                  <c:v>COO</c:v>
                </c:pt>
                <c:pt idx="5">
                  <c:v>COORDINATOR</c:v>
                </c:pt>
                <c:pt idx="6">
                  <c:v>CTO</c:v>
                </c:pt>
                <c:pt idx="7">
                  <c:v>DIRECTOR</c:v>
                </c:pt>
                <c:pt idx="8">
                  <c:v>EXECUTIVE DIRECTOR</c:v>
                </c:pt>
                <c:pt idx="9">
                  <c:v>EXECUTIVE VICE PRESIDENT</c:v>
                </c:pt>
                <c:pt idx="10">
                  <c:v>RELIGIOUS LEADER</c:v>
                </c:pt>
                <c:pt idx="11">
                  <c:v>(Other)</c:v>
                </c:pt>
              </c:strCache>
            </c:strRef>
          </c:cat>
          <c:val>
            <c:numRef>
              <c:f>Sheet21!$D$1:$D$12</c:f>
              <c:numCache>
                <c:formatCode>General</c:formatCode>
                <c:ptCount val="12"/>
                <c:pt idx="0">
                  <c:v>0</c:v>
                </c:pt>
                <c:pt idx="1">
                  <c:v>0.16022500000000001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3.5499999999999997E-2</c:v>
                </c:pt>
                <c:pt idx="8">
                  <c:v>5.5750000000000001E-3</c:v>
                </c:pt>
                <c:pt idx="9">
                  <c:v>0</c:v>
                </c:pt>
                <c:pt idx="10">
                  <c:v>6.3E-3</c:v>
                </c:pt>
                <c:pt idx="11">
                  <c:v>0.79239999999999999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50F-45AE-90BD-30626A524E6F}"/>
            </c:ext>
          </c:extLst>
        </c:ser>
        <c:ser>
          <c:idx val="3"/>
          <c:order val="3"/>
          <c:invertIfNegative val="0"/>
          <c:cat>
            <c:strRef>
              <c:f>Sheet21!$A$1:$A$12</c:f>
              <c:strCache>
                <c:ptCount val="12"/>
                <c:pt idx="0">
                  <c:v>Contact Title</c:v>
                </c:pt>
                <c:pt idx="1">
                  <c:v>(N/A)</c:v>
                </c:pt>
                <c:pt idx="2">
                  <c:v>CFO</c:v>
                </c:pt>
                <c:pt idx="3">
                  <c:v>CONTROLLER</c:v>
                </c:pt>
                <c:pt idx="4">
                  <c:v>COO</c:v>
                </c:pt>
                <c:pt idx="5">
                  <c:v>COORDINATOR</c:v>
                </c:pt>
                <c:pt idx="6">
                  <c:v>CTO</c:v>
                </c:pt>
                <c:pt idx="7">
                  <c:v>DIRECTOR</c:v>
                </c:pt>
                <c:pt idx="8">
                  <c:v>EXECUTIVE DIRECTOR</c:v>
                </c:pt>
                <c:pt idx="9">
                  <c:v>EXECUTIVE VICE PRESIDENT</c:v>
                </c:pt>
                <c:pt idx="10">
                  <c:v>RELIGIOUS LEADER</c:v>
                </c:pt>
                <c:pt idx="11">
                  <c:v>(Other)</c:v>
                </c:pt>
              </c:strCache>
            </c:strRef>
          </c:cat>
          <c:val>
            <c:numRef>
              <c:f>Sheet21!$E$1:$E$12</c:f>
              <c:numCache>
                <c:formatCode>0%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6-250F-45AE-90BD-30626A524E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8417600"/>
        <c:axId val="558422192"/>
      </c:barChart>
      <c:catAx>
        <c:axId val="558417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58422192"/>
        <c:crosses val="autoZero"/>
        <c:auto val="1"/>
        <c:lblAlgn val="ctr"/>
        <c:lblOffset val="100"/>
        <c:noMultiLvlLbl val="0"/>
      </c:catAx>
      <c:valAx>
        <c:axId val="558422192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%" sourceLinked="1"/>
        <c:majorTickMark val="out"/>
        <c:minorTickMark val="none"/>
        <c:tickLblPos val="nextTo"/>
        <c:crossAx val="558417600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/>
            </a:pPr>
            <a:r>
              <a:rPr lang="en-US" sz="2000"/>
              <a:t>Women Owned Business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6EBE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Sheet22!$A$1:$A$3</c:f>
              <c:strCache>
                <c:ptCount val="3"/>
                <c:pt idx="0">
                  <c:v>Women Owned Business</c:v>
                </c:pt>
                <c:pt idx="1">
                  <c:v>No</c:v>
                </c:pt>
                <c:pt idx="2">
                  <c:v>Yes</c:v>
                </c:pt>
              </c:strCache>
            </c:strRef>
          </c:cat>
          <c:val>
            <c:numRef>
              <c:f>Sheet22!$B$1:$B$3</c:f>
              <c:numCache>
                <c:formatCode>0%</c:formatCode>
                <c:ptCount val="3"/>
                <c:pt idx="0">
                  <c:v>0</c:v>
                </c:pt>
                <c:pt idx="1">
                  <c:v>0.93352601156069404</c:v>
                </c:pt>
                <c:pt idx="2">
                  <c:v>6.6473988439306395E-2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27A-4091-9275-C65A8635ED2F}"/>
            </c:ext>
          </c:extLst>
        </c:ser>
        <c:ser>
          <c:idx val="1"/>
          <c:order val="1"/>
          <c:spPr>
            <a:solidFill>
              <a:srgbClr val="BE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Sheet22!$A$1:$A$3</c:f>
              <c:strCache>
                <c:ptCount val="3"/>
                <c:pt idx="0">
                  <c:v>Women Owned Business</c:v>
                </c:pt>
                <c:pt idx="1">
                  <c:v>No</c:v>
                </c:pt>
                <c:pt idx="2">
                  <c:v>Yes</c:v>
                </c:pt>
              </c:strCache>
            </c:strRef>
          </c:cat>
          <c:val>
            <c:numRef>
              <c:f>Sheet22!$C$1:$C$3</c:f>
              <c:numCache>
                <c:formatCode>0%</c:formatCode>
                <c:ptCount val="3"/>
                <c:pt idx="0">
                  <c:v>0</c:v>
                </c:pt>
                <c:pt idx="1">
                  <c:v>0.95384615384615401</c:v>
                </c:pt>
                <c:pt idx="2">
                  <c:v>4.6153846153846198E-2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27A-4091-9275-C65A8635ED2F}"/>
            </c:ext>
          </c:extLst>
        </c:ser>
        <c:ser>
          <c:idx val="2"/>
          <c:order val="2"/>
          <c:spPr>
            <a:solidFill>
              <a:srgbClr val="785A8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Sheet22!$A$1:$A$3</c:f>
              <c:strCache>
                <c:ptCount val="3"/>
                <c:pt idx="0">
                  <c:v>Women Owned Business</c:v>
                </c:pt>
                <c:pt idx="1">
                  <c:v>No</c:v>
                </c:pt>
                <c:pt idx="2">
                  <c:v>Yes</c:v>
                </c:pt>
              </c:strCache>
            </c:strRef>
          </c:cat>
          <c:val>
            <c:numRef>
              <c:f>Sheet22!$D$1:$D$3</c:f>
              <c:numCache>
                <c:formatCode>General</c:formatCode>
                <c:ptCount val="3"/>
                <c:pt idx="0">
                  <c:v>0</c:v>
                </c:pt>
                <c:pt idx="1">
                  <c:v>0.93115000000000003</c:v>
                </c:pt>
                <c:pt idx="2">
                  <c:v>6.8849999999999995E-2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7A-4091-9275-C65A8635ED2F}"/>
            </c:ext>
          </c:extLst>
        </c:ser>
        <c:ser>
          <c:idx val="3"/>
          <c:order val="3"/>
          <c:invertIfNegative val="0"/>
          <c:cat>
            <c:strRef>
              <c:f>Sheet22!$A$1:$A$3</c:f>
              <c:strCache>
                <c:ptCount val="3"/>
                <c:pt idx="0">
                  <c:v>Women Owned Business</c:v>
                </c:pt>
                <c:pt idx="1">
                  <c:v>No</c:v>
                </c:pt>
                <c:pt idx="2">
                  <c:v>Yes</c:v>
                </c:pt>
              </c:strCache>
            </c:strRef>
          </c:cat>
          <c:val>
            <c:numRef>
              <c:f>Sheet22!$E$1:$E$3</c:f>
              <c:numCache>
                <c:formatCode>0%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5-327A-4091-9275-C65A8635E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8626272"/>
        <c:axId val="378626928"/>
      </c:barChart>
      <c:catAx>
        <c:axId val="378626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8626928"/>
        <c:crosses val="autoZero"/>
        <c:auto val="1"/>
        <c:lblAlgn val="ctr"/>
        <c:lblOffset val="100"/>
        <c:noMultiLvlLbl val="0"/>
      </c:catAx>
      <c:valAx>
        <c:axId val="378626928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%" sourceLinked="1"/>
        <c:majorTickMark val="out"/>
        <c:minorTickMark val="none"/>
        <c:tickLblPos val="nextTo"/>
        <c:crossAx val="378626272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/>
            </a:pPr>
            <a:r>
              <a:rPr lang="en-US" sz="2000"/>
              <a:t>Years In Business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6EBE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Sheet23!$A$1:$A$12</c:f>
              <c:strCache>
                <c:ptCount val="12"/>
                <c:pt idx="0">
                  <c:v>Years In Business</c:v>
                </c:pt>
                <c:pt idx="1">
                  <c:v>(N/A)</c:v>
                </c:pt>
                <c:pt idx="2">
                  <c:v>[0,5)</c:v>
                </c:pt>
                <c:pt idx="3">
                  <c:v>[5,9)</c:v>
                </c:pt>
                <c:pt idx="4">
                  <c:v>[9,12)</c:v>
                </c:pt>
                <c:pt idx="5">
                  <c:v>[12,15)</c:v>
                </c:pt>
                <c:pt idx="6">
                  <c:v>[15,19)</c:v>
                </c:pt>
                <c:pt idx="7">
                  <c:v>[19,24)</c:v>
                </c:pt>
                <c:pt idx="8">
                  <c:v>[24,30)</c:v>
                </c:pt>
                <c:pt idx="9">
                  <c:v>[30,41)</c:v>
                </c:pt>
                <c:pt idx="10">
                  <c:v>[41,70)</c:v>
                </c:pt>
                <c:pt idx="11">
                  <c:v>70+</c:v>
                </c:pt>
              </c:strCache>
            </c:strRef>
          </c:cat>
          <c:val>
            <c:numRef>
              <c:f>Sheet23!$B$1:$B$12</c:f>
              <c:numCache>
                <c:formatCode>0%</c:formatCode>
                <c:ptCount val="12"/>
                <c:pt idx="0">
                  <c:v>0</c:v>
                </c:pt>
                <c:pt idx="1">
                  <c:v>0.190751445086705</c:v>
                </c:pt>
                <c:pt idx="2">
                  <c:v>3.17919075144509E-2</c:v>
                </c:pt>
                <c:pt idx="3">
                  <c:v>7.2254335260115599E-2</c:v>
                </c:pt>
                <c:pt idx="4">
                  <c:v>6.6473988439306395E-2</c:v>
                </c:pt>
                <c:pt idx="5">
                  <c:v>7.80346820809249E-2</c:v>
                </c:pt>
                <c:pt idx="6">
                  <c:v>6.3583815028901702E-2</c:v>
                </c:pt>
                <c:pt idx="7">
                  <c:v>6.6473988439306395E-2</c:v>
                </c:pt>
                <c:pt idx="8">
                  <c:v>8.3815028901734104E-2</c:v>
                </c:pt>
                <c:pt idx="9">
                  <c:v>0.10404624277456601</c:v>
                </c:pt>
                <c:pt idx="10">
                  <c:v>0.135838150289017</c:v>
                </c:pt>
                <c:pt idx="11">
                  <c:v>0.106936416184971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E0B-4A3F-80ED-3B56B961A3AB}"/>
            </c:ext>
          </c:extLst>
        </c:ser>
        <c:ser>
          <c:idx val="1"/>
          <c:order val="1"/>
          <c:spPr>
            <a:solidFill>
              <a:srgbClr val="BE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Sheet23!$A$1:$A$12</c:f>
              <c:strCache>
                <c:ptCount val="12"/>
                <c:pt idx="0">
                  <c:v>Years In Business</c:v>
                </c:pt>
                <c:pt idx="1">
                  <c:v>(N/A)</c:v>
                </c:pt>
                <c:pt idx="2">
                  <c:v>[0,5)</c:v>
                </c:pt>
                <c:pt idx="3">
                  <c:v>[5,9)</c:v>
                </c:pt>
                <c:pt idx="4">
                  <c:v>[9,12)</c:v>
                </c:pt>
                <c:pt idx="5">
                  <c:v>[12,15)</c:v>
                </c:pt>
                <c:pt idx="6">
                  <c:v>[15,19)</c:v>
                </c:pt>
                <c:pt idx="7">
                  <c:v>[19,24)</c:v>
                </c:pt>
                <c:pt idx="8">
                  <c:v>[24,30)</c:v>
                </c:pt>
                <c:pt idx="9">
                  <c:v>[30,41)</c:v>
                </c:pt>
                <c:pt idx="10">
                  <c:v>[41,70)</c:v>
                </c:pt>
                <c:pt idx="11">
                  <c:v>70+</c:v>
                </c:pt>
              </c:strCache>
            </c:strRef>
          </c:cat>
          <c:val>
            <c:numRef>
              <c:f>Sheet23!$C$1:$C$12</c:f>
              <c:numCache>
                <c:formatCode>0%</c:formatCode>
                <c:ptCount val="12"/>
                <c:pt idx="0">
                  <c:v>0</c:v>
                </c:pt>
                <c:pt idx="1">
                  <c:v>0.15897435897435899</c:v>
                </c:pt>
                <c:pt idx="2">
                  <c:v>2.5641025641025599E-2</c:v>
                </c:pt>
                <c:pt idx="3">
                  <c:v>6.6666666666666693E-2</c:v>
                </c:pt>
                <c:pt idx="4">
                  <c:v>7.1794871794871803E-2</c:v>
                </c:pt>
                <c:pt idx="5">
                  <c:v>5.6410256410256397E-2</c:v>
                </c:pt>
                <c:pt idx="6">
                  <c:v>8.2051282051282107E-2</c:v>
                </c:pt>
                <c:pt idx="7">
                  <c:v>6.15384615384615E-2</c:v>
                </c:pt>
                <c:pt idx="8">
                  <c:v>7.69230769230769E-2</c:v>
                </c:pt>
                <c:pt idx="9">
                  <c:v>0.143589743589744</c:v>
                </c:pt>
                <c:pt idx="10">
                  <c:v>0.15384615384615399</c:v>
                </c:pt>
                <c:pt idx="11">
                  <c:v>0.102564102564103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E0B-4A3F-80ED-3B56B961A3AB}"/>
            </c:ext>
          </c:extLst>
        </c:ser>
        <c:ser>
          <c:idx val="2"/>
          <c:order val="2"/>
          <c:spPr>
            <a:solidFill>
              <a:srgbClr val="785A82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Sheet23!$A$1:$A$12</c:f>
              <c:strCache>
                <c:ptCount val="12"/>
                <c:pt idx="0">
                  <c:v>Years In Business</c:v>
                </c:pt>
                <c:pt idx="1">
                  <c:v>(N/A)</c:v>
                </c:pt>
                <c:pt idx="2">
                  <c:v>[0,5)</c:v>
                </c:pt>
                <c:pt idx="3">
                  <c:v>[5,9)</c:v>
                </c:pt>
                <c:pt idx="4">
                  <c:v>[9,12)</c:v>
                </c:pt>
                <c:pt idx="5">
                  <c:v>[12,15)</c:v>
                </c:pt>
                <c:pt idx="6">
                  <c:v>[15,19)</c:v>
                </c:pt>
                <c:pt idx="7">
                  <c:v>[19,24)</c:v>
                </c:pt>
                <c:pt idx="8">
                  <c:v>[24,30)</c:v>
                </c:pt>
                <c:pt idx="9">
                  <c:v>[30,41)</c:v>
                </c:pt>
                <c:pt idx="10">
                  <c:v>[41,70)</c:v>
                </c:pt>
                <c:pt idx="11">
                  <c:v>70+</c:v>
                </c:pt>
              </c:strCache>
            </c:strRef>
          </c:cat>
          <c:val>
            <c:numRef>
              <c:f>Sheet23!$D$1:$D$12</c:f>
              <c:numCache>
                <c:formatCode>General</c:formatCode>
                <c:ptCount val="12"/>
                <c:pt idx="0">
                  <c:v>0</c:v>
                </c:pt>
                <c:pt idx="1">
                  <c:v>0.13325000000000001</c:v>
                </c:pt>
                <c:pt idx="2">
                  <c:v>7.4274999999999994E-2</c:v>
                </c:pt>
                <c:pt idx="3">
                  <c:v>0.10174999999999999</c:v>
                </c:pt>
                <c:pt idx="4">
                  <c:v>7.3175000000000004E-2</c:v>
                </c:pt>
                <c:pt idx="5">
                  <c:v>8.8474999999999998E-2</c:v>
                </c:pt>
                <c:pt idx="6">
                  <c:v>0.10675</c:v>
                </c:pt>
                <c:pt idx="7">
                  <c:v>9.6574999999999994E-2</c:v>
                </c:pt>
                <c:pt idx="8">
                  <c:v>7.5075000000000003E-2</c:v>
                </c:pt>
                <c:pt idx="9">
                  <c:v>8.4324999999999997E-2</c:v>
                </c:pt>
                <c:pt idx="10">
                  <c:v>8.7374999999999994E-2</c:v>
                </c:pt>
                <c:pt idx="11">
                  <c:v>7.8975000000000004E-2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E0B-4A3F-80ED-3B56B961A3AB}"/>
            </c:ext>
          </c:extLst>
        </c:ser>
        <c:ser>
          <c:idx val="3"/>
          <c:order val="3"/>
          <c:invertIfNegative val="0"/>
          <c:cat>
            <c:strRef>
              <c:f>Sheet23!$A$1:$A$12</c:f>
              <c:strCache>
                <c:ptCount val="12"/>
                <c:pt idx="0">
                  <c:v>Years In Business</c:v>
                </c:pt>
                <c:pt idx="1">
                  <c:v>(N/A)</c:v>
                </c:pt>
                <c:pt idx="2">
                  <c:v>[0,5)</c:v>
                </c:pt>
                <c:pt idx="3">
                  <c:v>[5,9)</c:v>
                </c:pt>
                <c:pt idx="4">
                  <c:v>[9,12)</c:v>
                </c:pt>
                <c:pt idx="5">
                  <c:v>[12,15)</c:v>
                </c:pt>
                <c:pt idx="6">
                  <c:v>[15,19)</c:v>
                </c:pt>
                <c:pt idx="7">
                  <c:v>[19,24)</c:v>
                </c:pt>
                <c:pt idx="8">
                  <c:v>[24,30)</c:v>
                </c:pt>
                <c:pt idx="9">
                  <c:v>[30,41)</c:v>
                </c:pt>
                <c:pt idx="10">
                  <c:v>[41,70)</c:v>
                </c:pt>
                <c:pt idx="11">
                  <c:v>70+</c:v>
                </c:pt>
              </c:strCache>
            </c:strRef>
          </c:cat>
          <c:val>
            <c:numRef>
              <c:f>Sheet23!$E$1:$E$12</c:f>
              <c:numCache>
                <c:formatCode>0%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06-8E0B-4A3F-80ED-3B56B961A3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8429736"/>
        <c:axId val="558428752"/>
      </c:barChart>
      <c:catAx>
        <c:axId val="558429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58428752"/>
        <c:crosses val="autoZero"/>
        <c:auto val="1"/>
        <c:lblAlgn val="ctr"/>
        <c:lblOffset val="100"/>
        <c:noMultiLvlLbl val="0"/>
      </c:catAx>
      <c:valAx>
        <c:axId val="558428752"/>
        <c:scaling>
          <c:orientation val="minMax"/>
        </c:scaling>
        <c:delete val="0"/>
        <c:axPos val="l"/>
        <c:majorGridlines>
          <c:spPr>
            <a:ln w="6350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6350" cap="flat" cmpd="sng" algn="ctr">
                  <a:solidFill>
                    <a:sysClr val="windowText" lastClr="000000">
                      <a:tint val="7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0%" sourceLinked="1"/>
        <c:majorTickMark val="out"/>
        <c:minorTickMark val="none"/>
        <c:tickLblPos val="nextTo"/>
        <c:crossAx val="558429736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1270000</xdr:colOff>
      <xdr:row>3</xdr:row>
      <xdr:rowOff>63500</xdr:rowOff>
    </xdr:from>
    <xdr:to>
      <xdr:col>14</xdr:col>
      <xdr:colOff>466725</xdr:colOff>
      <xdr:row>29</xdr:row>
      <xdr:rowOff>76200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43D6BECB-44D2-4BF3-9033-8DA4243CF4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1270000</xdr:colOff>
      <xdr:row>3</xdr:row>
      <xdr:rowOff>63500</xdr:rowOff>
    </xdr:from>
    <xdr:to>
      <xdr:col>12</xdr:col>
      <xdr:colOff>476250</xdr:colOff>
      <xdr:row>30</xdr:row>
      <xdr:rowOff>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F3108592-F968-46EC-BAF6-2180DEF10C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98425</xdr:colOff>
      <xdr:row>3</xdr:row>
      <xdr:rowOff>63500</xdr:rowOff>
    </xdr:from>
    <xdr:to>
      <xdr:col>14</xdr:col>
      <xdr:colOff>428625</xdr:colOff>
      <xdr:row>30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9B54E593-9BCE-4F4C-87C3-9C0A93440B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1270000</xdr:colOff>
      <xdr:row>3</xdr:row>
      <xdr:rowOff>63500</xdr:rowOff>
    </xdr:from>
    <xdr:to>
      <xdr:col>13</xdr:col>
      <xdr:colOff>447675</xdr:colOff>
      <xdr:row>30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4F0AC102-03F0-4806-863B-B6C44AFC72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1270000</xdr:colOff>
      <xdr:row>3</xdr:row>
      <xdr:rowOff>63500</xdr:rowOff>
    </xdr:from>
    <xdr:to>
      <xdr:col>13</xdr:col>
      <xdr:colOff>228600</xdr:colOff>
      <xdr:row>30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C959D71E-EF8D-49DC-AF3A-E78EBA4A67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298450</xdr:colOff>
      <xdr:row>3</xdr:row>
      <xdr:rowOff>63500</xdr:rowOff>
    </xdr:from>
    <xdr:to>
      <xdr:col>14</xdr:col>
      <xdr:colOff>533400</xdr:colOff>
      <xdr:row>30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322E3166-BEF0-4D42-A8E0-BF6D0453FE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184150</xdr:colOff>
      <xdr:row>3</xdr:row>
      <xdr:rowOff>63500</xdr:rowOff>
    </xdr:from>
    <xdr:to>
      <xdr:col>14</xdr:col>
      <xdr:colOff>419100</xdr:colOff>
      <xdr:row>30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E6C1110B-08FC-4866-82B8-6192B9E45A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31750</xdr:colOff>
      <xdr:row>3</xdr:row>
      <xdr:rowOff>63500</xdr:rowOff>
    </xdr:from>
    <xdr:to>
      <xdr:col>14</xdr:col>
      <xdr:colOff>266700</xdr:colOff>
      <xdr:row>30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EB29EEB1-FF43-4F58-86CA-C57B6E14D2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3175</xdr:colOff>
      <xdr:row>3</xdr:row>
      <xdr:rowOff>63500</xdr:rowOff>
    </xdr:from>
    <xdr:to>
      <xdr:col>14</xdr:col>
      <xdr:colOff>238125</xdr:colOff>
      <xdr:row>30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A0E7EEF5-FD16-411F-A918-4B385737B0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1270000</xdr:colOff>
      <xdr:row>3</xdr:row>
      <xdr:rowOff>63500</xdr:rowOff>
    </xdr:from>
    <xdr:to>
      <xdr:col>14</xdr:col>
      <xdr:colOff>200025</xdr:colOff>
      <xdr:row>30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340AE7D1-FBEC-4F73-9084-6E487703CD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269875</xdr:colOff>
      <xdr:row>3</xdr:row>
      <xdr:rowOff>63500</xdr:rowOff>
    </xdr:from>
    <xdr:to>
      <xdr:col>14</xdr:col>
      <xdr:colOff>504825</xdr:colOff>
      <xdr:row>30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C58631A3-E648-4D3C-A0C2-4F80B269E4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565150</xdr:colOff>
      <xdr:row>3</xdr:row>
      <xdr:rowOff>63500</xdr:rowOff>
    </xdr:from>
    <xdr:to>
      <xdr:col>15</xdr:col>
      <xdr:colOff>190500</xdr:colOff>
      <xdr:row>30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8EFC760B-D0FD-47F7-B1EF-E5F3181A1A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1270000</xdr:colOff>
      <xdr:row>3</xdr:row>
      <xdr:rowOff>63500</xdr:rowOff>
    </xdr:from>
    <xdr:to>
      <xdr:col>14</xdr:col>
      <xdr:colOff>161925</xdr:colOff>
      <xdr:row>30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453EE0BC-DBC3-4D9B-A735-5E65782289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1270000</xdr:colOff>
      <xdr:row>3</xdr:row>
      <xdr:rowOff>63500</xdr:rowOff>
    </xdr:from>
    <xdr:to>
      <xdr:col>14</xdr:col>
      <xdr:colOff>209550</xdr:colOff>
      <xdr:row>30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D7B82CA7-91AD-43CB-9ED0-14A858F296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1270000</xdr:colOff>
      <xdr:row>3</xdr:row>
      <xdr:rowOff>63500</xdr:rowOff>
    </xdr:from>
    <xdr:to>
      <xdr:col>8</xdr:col>
      <xdr:colOff>257175</xdr:colOff>
      <xdr:row>30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EF68150E-B093-433E-8EED-70B46567A2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1270000</xdr:colOff>
      <xdr:row>3</xdr:row>
      <xdr:rowOff>63500</xdr:rowOff>
    </xdr:from>
    <xdr:to>
      <xdr:col>13</xdr:col>
      <xdr:colOff>476250</xdr:colOff>
      <xdr:row>30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2F9CDE4C-D512-434C-ACF4-EABD691873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450850</xdr:colOff>
      <xdr:row>3</xdr:row>
      <xdr:rowOff>63500</xdr:rowOff>
    </xdr:from>
    <xdr:to>
      <xdr:col>15</xdr:col>
      <xdr:colOff>76200</xdr:colOff>
      <xdr:row>30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EE366AA-F0EC-472D-AFEB-B51B6D75FE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365125</xdr:colOff>
      <xdr:row>3</xdr:row>
      <xdr:rowOff>63500</xdr:rowOff>
    </xdr:from>
    <xdr:to>
      <xdr:col>14</xdr:col>
      <xdr:colOff>600075</xdr:colOff>
      <xdr:row>30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FC099292-BDC5-4863-B823-9EAE3E3615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1270000</xdr:colOff>
      <xdr:row>3</xdr:row>
      <xdr:rowOff>63500</xdr:rowOff>
    </xdr:from>
    <xdr:to>
      <xdr:col>12</xdr:col>
      <xdr:colOff>600075</xdr:colOff>
      <xdr:row>30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D041012E-447F-46AB-B7F4-589C198291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1270000</xdr:colOff>
      <xdr:row>3</xdr:row>
      <xdr:rowOff>63500</xdr:rowOff>
    </xdr:from>
    <xdr:to>
      <xdr:col>14</xdr:col>
      <xdr:colOff>114300</xdr:colOff>
      <xdr:row>30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D30E6F88-7B78-4DD7-8043-A8991DB478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1270000</xdr:colOff>
      <xdr:row>3</xdr:row>
      <xdr:rowOff>63500</xdr:rowOff>
    </xdr:from>
    <xdr:to>
      <xdr:col>13</xdr:col>
      <xdr:colOff>390525</xdr:colOff>
      <xdr:row>30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D4E0832C-E776-4A92-A648-BDD39A2615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1270000</xdr:colOff>
      <xdr:row>3</xdr:row>
      <xdr:rowOff>63500</xdr:rowOff>
    </xdr:from>
    <xdr:to>
      <xdr:col>14</xdr:col>
      <xdr:colOff>152400</xdr:colOff>
      <xdr:row>30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598FBA70-C373-4B70-B32C-1EE8870B59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336550</xdr:colOff>
      <xdr:row>3</xdr:row>
      <xdr:rowOff>63500</xdr:rowOff>
    </xdr:from>
    <xdr:to>
      <xdr:col>14</xdr:col>
      <xdr:colOff>571500</xdr:colOff>
      <xdr:row>30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F5047C4-7ABF-4A15-AF56-A5CF10A3E5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4"/>
  <sheetViews>
    <sheetView tabSelected="1" workbookViewId="0">
      <selection activeCell="F1" sqref="F1"/>
    </sheetView>
  </sheetViews>
  <sheetFormatPr defaultColWidth="9" defaultRowHeight="15"/>
  <cols>
    <col min="1" max="1" width="21.5703125" style="2" bestFit="1" customWidth="1"/>
    <col min="2" max="2" width="21.28515625" style="2" bestFit="1" customWidth="1"/>
    <col min="3" max="3" width="22.5703125" style="2" bestFit="1" customWidth="1"/>
    <col min="4" max="4" width="9" style="7"/>
    <col min="5" max="16384" width="9" style="2"/>
  </cols>
  <sheetData>
    <row r="1" spans="1:4">
      <c r="A1" s="3" t="s">
        <v>0</v>
      </c>
      <c r="B1" s="4" t="s">
        <v>1</v>
      </c>
      <c r="C1" s="3" t="s">
        <v>2</v>
      </c>
      <c r="D1" s="7" t="s">
        <v>3</v>
      </c>
    </row>
    <row r="2" spans="1:4">
      <c r="A2" s="3" t="s">
        <v>4</v>
      </c>
      <c r="B2" s="3">
        <v>0.15606936416184999</v>
      </c>
      <c r="C2" s="3">
        <v>0.133333333333333</v>
      </c>
      <c r="D2" s="7">
        <v>85.432098765431732</v>
      </c>
    </row>
    <row r="3" spans="1:4">
      <c r="A3" s="3" t="s">
        <v>5</v>
      </c>
      <c r="B3" s="3">
        <v>1.15606936416185E-2</v>
      </c>
      <c r="C3" s="3">
        <v>5.1282051282051299E-3</v>
      </c>
      <c r="D3" s="7">
        <v>44.358974358974365</v>
      </c>
    </row>
    <row r="4" spans="1:4">
      <c r="A4" s="3" t="s">
        <v>6</v>
      </c>
      <c r="B4" s="3">
        <v>5.78034682080925E-3</v>
      </c>
      <c r="C4" s="3">
        <v>1.02564102564103E-2</v>
      </c>
      <c r="D4" s="7">
        <v>177.43589743589814</v>
      </c>
    </row>
    <row r="5" spans="1:4">
      <c r="A5" s="3" t="s">
        <v>7</v>
      </c>
      <c r="B5" s="3">
        <v>5.78034682080925E-3</v>
      </c>
      <c r="C5" s="3">
        <v>5.1282051282051299E-3</v>
      </c>
      <c r="D5" s="7">
        <v>88.71794871794873</v>
      </c>
    </row>
    <row r="6" spans="1:4">
      <c r="A6" s="3" t="s">
        <v>8</v>
      </c>
      <c r="B6" s="3">
        <v>0.820809248554913</v>
      </c>
      <c r="C6" s="3">
        <v>0.84615384615384603</v>
      </c>
      <c r="D6" s="7">
        <v>103.08775731310944</v>
      </c>
    </row>
    <row r="7" spans="1:4">
      <c r="A7" s="3"/>
    </row>
    <row r="14" spans="1:4" ht="24" customHeight="1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3"/>
  <sheetViews>
    <sheetView workbookViewId="0">
      <selection activeCell="D1" sqref="D1:D1048576"/>
    </sheetView>
  </sheetViews>
  <sheetFormatPr defaultColWidth="9" defaultRowHeight="15"/>
  <cols>
    <col min="1" max="2" width="21.28515625" style="2" bestFit="1" customWidth="1"/>
    <col min="3" max="3" width="22.5703125" style="2" bestFit="1" customWidth="1"/>
    <col min="4" max="4" width="22.5703125" style="7" customWidth="1"/>
    <col min="5" max="5" width="13.5703125" style="2" bestFit="1" customWidth="1"/>
    <col min="6" max="16384" width="9" style="2"/>
  </cols>
  <sheetData>
    <row r="1" spans="1:4">
      <c r="A1" s="2" t="s">
        <v>9</v>
      </c>
      <c r="B1" s="2" t="s">
        <v>1</v>
      </c>
      <c r="C1" s="4" t="s">
        <v>2</v>
      </c>
      <c r="D1" s="8" t="s">
        <v>3</v>
      </c>
    </row>
    <row r="2" spans="1:4">
      <c r="A2" s="2" t="s">
        <v>10</v>
      </c>
      <c r="B2" s="2">
        <v>0.46820809248554901</v>
      </c>
      <c r="C2" s="2">
        <v>0.41025641025641002</v>
      </c>
      <c r="D2" s="7">
        <v>87.622665400443154</v>
      </c>
    </row>
    <row r="3" spans="1:4">
      <c r="A3" s="2" t="s">
        <v>11</v>
      </c>
      <c r="B3" s="2">
        <v>0.53179190751445105</v>
      </c>
      <c r="C3" s="2">
        <v>0.58974358974358998</v>
      </c>
      <c r="D3" s="7">
        <v>110.8974358974359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23AEA-7195-4086-8E91-D8B08F5DD1AF}">
  <sheetPr codeName="Sheet3"/>
  <dimension ref="A1:D12"/>
  <sheetViews>
    <sheetView workbookViewId="0">
      <selection activeCell="A13" sqref="A13"/>
    </sheetView>
  </sheetViews>
  <sheetFormatPr defaultColWidth="9" defaultRowHeight="15"/>
  <cols>
    <col min="1" max="1" width="17.5703125" style="2" bestFit="1" customWidth="1"/>
    <col min="2" max="2" width="21.28515625" style="2" bestFit="1" customWidth="1"/>
    <col min="3" max="3" width="22.5703125" style="2" bestFit="1" customWidth="1"/>
    <col min="4" max="4" width="13.5703125" style="7" bestFit="1" customWidth="1"/>
    <col min="5" max="16384" width="9" style="2"/>
  </cols>
  <sheetData>
    <row r="1" spans="1:4">
      <c r="A1" s="4" t="s">
        <v>12</v>
      </c>
      <c r="B1" s="4" t="s">
        <v>1</v>
      </c>
      <c r="C1" s="4" t="s">
        <v>2</v>
      </c>
      <c r="D1" s="8" t="s">
        <v>3</v>
      </c>
    </row>
    <row r="2" spans="1:4">
      <c r="A2" s="4" t="s">
        <v>13</v>
      </c>
      <c r="B2" s="4">
        <v>0.309248554913295</v>
      </c>
      <c r="C2" s="4">
        <v>0.33846153846153798</v>
      </c>
      <c r="D2" s="8">
        <v>109.446441409058</v>
      </c>
    </row>
    <row r="3" spans="1:4">
      <c r="A3" s="4" t="s">
        <v>14</v>
      </c>
      <c r="B3" s="4">
        <v>0.280346820809249</v>
      </c>
      <c r="C3" s="4">
        <v>0.22051282051282101</v>
      </c>
      <c r="D3" s="8">
        <v>78.657150409727777</v>
      </c>
    </row>
    <row r="4" spans="1:4">
      <c r="A4" s="4" t="s">
        <v>15</v>
      </c>
      <c r="B4" s="4">
        <v>0.10115606936416199</v>
      </c>
      <c r="C4" s="4">
        <v>0.107692307692308</v>
      </c>
      <c r="D4" s="8">
        <v>106.46153846153861</v>
      </c>
    </row>
    <row r="5" spans="1:4">
      <c r="A5" s="4" t="s">
        <v>16</v>
      </c>
      <c r="B5" s="4">
        <v>4.0462427745664699E-2</v>
      </c>
      <c r="C5" s="4">
        <v>6.15384615384615E-2</v>
      </c>
      <c r="D5" s="8">
        <v>152.08791208791214</v>
      </c>
    </row>
    <row r="6" spans="1:4">
      <c r="A6" s="4" t="s">
        <v>17</v>
      </c>
      <c r="B6" s="4">
        <v>9.5375722543352595E-2</v>
      </c>
      <c r="C6" s="4">
        <v>6.6666666666666693E-2</v>
      </c>
      <c r="D6" s="8">
        <v>69.898989898989925</v>
      </c>
    </row>
    <row r="7" spans="1:4">
      <c r="A7" s="4" t="s">
        <v>18</v>
      </c>
      <c r="B7" s="4">
        <v>5.4913294797687903E-2</v>
      </c>
      <c r="C7" s="4">
        <v>8.2051282051282107E-2</v>
      </c>
      <c r="D7" s="8">
        <v>149.4197031039136</v>
      </c>
    </row>
    <row r="8" spans="1:4">
      <c r="A8" s="4" t="s">
        <v>19</v>
      </c>
      <c r="B8" s="4">
        <v>4.0462427745664699E-2</v>
      </c>
      <c r="C8" s="4">
        <v>2.0512820512820499E-2</v>
      </c>
      <c r="D8" s="8">
        <v>50.695970695970715</v>
      </c>
    </row>
    <row r="9" spans="1:4">
      <c r="A9" s="4" t="s">
        <v>20</v>
      </c>
      <c r="B9" s="4">
        <v>3.4682080924855502E-2</v>
      </c>
      <c r="C9" s="4">
        <v>3.0769230769230799E-2</v>
      </c>
      <c r="D9" s="8">
        <v>88.717948717948786</v>
      </c>
    </row>
    <row r="10" spans="1:4">
      <c r="A10" s="4" t="s">
        <v>21</v>
      </c>
      <c r="B10" s="4">
        <v>1.44508670520231E-2</v>
      </c>
      <c r="C10" s="4">
        <v>3.0769230769230799E-2</v>
      </c>
      <c r="D10" s="8">
        <v>212.92307692307745</v>
      </c>
    </row>
    <row r="11" spans="1:4">
      <c r="A11" s="4" t="s">
        <v>22</v>
      </c>
      <c r="B11" s="4">
        <v>5.78034682080925E-3</v>
      </c>
      <c r="C11" s="4">
        <v>0</v>
      </c>
      <c r="D11" s="8">
        <v>0</v>
      </c>
    </row>
    <row r="12" spans="1:4">
      <c r="A12" s="4" t="s">
        <v>23</v>
      </c>
      <c r="B12" s="4">
        <v>2.3121387283237E-2</v>
      </c>
      <c r="C12" s="4">
        <v>4.1025641025640998E-2</v>
      </c>
      <c r="D12" s="8">
        <v>177.43589743589726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DFD69-6AA6-4498-9820-C41CD85F547D}">
  <sheetPr codeName="Sheet20"/>
  <dimension ref="A1:E11"/>
  <sheetViews>
    <sheetView workbookViewId="0">
      <selection activeCell="C9" sqref="C9"/>
    </sheetView>
  </sheetViews>
  <sheetFormatPr defaultRowHeight="15"/>
  <cols>
    <col min="1" max="1" width="25" bestFit="1" customWidth="1"/>
    <col min="2" max="2" width="21.28515625" bestFit="1" customWidth="1"/>
    <col min="3" max="3" width="22.5703125" bestFit="1" customWidth="1"/>
    <col min="4" max="4" width="13.5703125" bestFit="1" customWidth="1"/>
  </cols>
  <sheetData>
    <row r="1" spans="1:5">
      <c r="A1" s="1" t="s">
        <v>24</v>
      </c>
      <c r="B1" s="1" t="s">
        <v>1</v>
      </c>
      <c r="C1" s="4" t="s">
        <v>2</v>
      </c>
      <c r="D1" t="s">
        <v>3</v>
      </c>
      <c r="E1" s="1"/>
    </row>
    <row r="2" spans="1:5">
      <c r="A2" s="1" t="s">
        <v>13</v>
      </c>
      <c r="B2" s="1">
        <v>0.410404624277457</v>
      </c>
      <c r="C2" s="1">
        <v>0.46153846153846201</v>
      </c>
      <c r="D2">
        <v>112.45937161430122</v>
      </c>
      <c r="E2" s="1"/>
    </row>
    <row r="3" spans="1:5">
      <c r="A3" s="1" t="s">
        <v>25</v>
      </c>
      <c r="B3" s="1">
        <v>0.245664739884393</v>
      </c>
      <c r="C3" s="1">
        <v>0.22564102564102601</v>
      </c>
      <c r="D3">
        <v>91.849170437405903</v>
      </c>
      <c r="E3" s="1"/>
    </row>
    <row r="4" spans="1:5">
      <c r="A4" s="1" t="s">
        <v>26</v>
      </c>
      <c r="B4" s="1">
        <v>7.2254335260115599E-2</v>
      </c>
      <c r="C4" s="1">
        <v>3.5897435897435902E-2</v>
      </c>
      <c r="D4">
        <v>49.68205128205129</v>
      </c>
      <c r="E4" s="1"/>
    </row>
    <row r="5" spans="1:5">
      <c r="A5" s="1" t="s">
        <v>27</v>
      </c>
      <c r="B5" s="1">
        <v>4.6242774566474E-2</v>
      </c>
      <c r="C5" s="1">
        <v>3.0769230769230799E-2</v>
      </c>
      <c r="D5">
        <v>66.53846153846159</v>
      </c>
      <c r="E5" s="1"/>
    </row>
    <row r="6" spans="1:5">
      <c r="A6" s="1" t="s">
        <v>28</v>
      </c>
      <c r="B6" s="1">
        <v>7.2254335260115599E-2</v>
      </c>
      <c r="C6" s="1">
        <v>9.2307692307692299E-2</v>
      </c>
      <c r="D6">
        <v>127.75384615384615</v>
      </c>
      <c r="E6" s="1"/>
    </row>
    <row r="7" spans="1:5">
      <c r="A7" s="1" t="s">
        <v>29</v>
      </c>
      <c r="B7" s="1">
        <v>2.3121387283237E-2</v>
      </c>
      <c r="C7" s="1">
        <v>3.0769230769230799E-2</v>
      </c>
      <c r="D7">
        <v>133.07692307692318</v>
      </c>
      <c r="E7" s="1"/>
    </row>
    <row r="8" spans="1:5">
      <c r="A8" s="1" t="s">
        <v>30</v>
      </c>
      <c r="B8" s="1">
        <v>3.7572254335260097E-2</v>
      </c>
      <c r="C8" s="1">
        <v>3.5897435897435902E-2</v>
      </c>
      <c r="D8">
        <v>95.542406311637137</v>
      </c>
      <c r="E8" s="1"/>
    </row>
    <row r="9" spans="1:5">
      <c r="A9" s="1" t="s">
        <v>31</v>
      </c>
      <c r="B9" s="1">
        <v>5.2023121387283197E-2</v>
      </c>
      <c r="C9" s="1">
        <v>4.6153846153846198E-2</v>
      </c>
      <c r="D9">
        <v>88.717948717948872</v>
      </c>
      <c r="E9" s="1"/>
    </row>
    <row r="10" spans="1:5">
      <c r="A10" s="1" t="s">
        <v>32</v>
      </c>
      <c r="B10" s="1">
        <v>1.7341040462427699E-2</v>
      </c>
      <c r="C10" s="1">
        <v>2.0512820512820499E-2</v>
      </c>
      <c r="D10">
        <v>118.29059829059854</v>
      </c>
      <c r="E10" s="1"/>
    </row>
    <row r="11" spans="1:5">
      <c r="A11" s="1" t="s">
        <v>33</v>
      </c>
      <c r="B11" s="1">
        <v>2.3121387283237E-2</v>
      </c>
      <c r="C11" s="1">
        <v>2.0512820512820499E-2</v>
      </c>
      <c r="D11">
        <v>88.71794871794863</v>
      </c>
      <c r="E11" s="1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50CE6-FDC2-4938-8A76-86CC42289113}">
  <sheetPr codeName="Sheet4"/>
  <dimension ref="A1:D12"/>
  <sheetViews>
    <sheetView workbookViewId="0"/>
  </sheetViews>
  <sheetFormatPr defaultColWidth="9" defaultRowHeight="15"/>
  <cols>
    <col min="1" max="1" width="29.5703125" style="2" bestFit="1" customWidth="1"/>
    <col min="2" max="2" width="21.28515625" style="2" bestFit="1" customWidth="1"/>
    <col min="3" max="3" width="22.5703125" style="2" bestFit="1" customWidth="1"/>
    <col min="4" max="4" width="13.5703125" style="7" bestFit="1" customWidth="1"/>
    <col min="5" max="16384" width="9" style="2"/>
  </cols>
  <sheetData>
    <row r="1" spans="1:4">
      <c r="A1" s="4" t="s">
        <v>34</v>
      </c>
      <c r="B1" s="4" t="s">
        <v>1</v>
      </c>
      <c r="C1" s="4" t="s">
        <v>2</v>
      </c>
      <c r="D1" s="8" t="s">
        <v>35</v>
      </c>
    </row>
    <row r="2" spans="1:4">
      <c r="A2" s="4" t="s">
        <v>13</v>
      </c>
      <c r="B2" s="4">
        <v>0.31502890173410403</v>
      </c>
      <c r="C2" s="4">
        <v>0.27692307692307699</v>
      </c>
      <c r="D2" s="8">
        <v>0.21487500000000001</v>
      </c>
    </row>
    <row r="3" spans="1:4">
      <c r="A3" s="4" t="s">
        <v>36</v>
      </c>
      <c r="B3" s="4">
        <v>0</v>
      </c>
      <c r="C3" s="4">
        <v>0</v>
      </c>
      <c r="D3" s="8">
        <v>1E-4</v>
      </c>
    </row>
    <row r="4" spans="1:4">
      <c r="A4" s="4" t="s">
        <v>37</v>
      </c>
      <c r="B4" s="4">
        <v>0</v>
      </c>
      <c r="C4" s="4">
        <v>1.02564102564103E-2</v>
      </c>
      <c r="D4" s="8">
        <v>1.2999999999999999E-2</v>
      </c>
    </row>
    <row r="5" spans="1:4">
      <c r="A5" s="4" t="s">
        <v>38</v>
      </c>
      <c r="B5" s="4">
        <v>0.21387283236994201</v>
      </c>
      <c r="C5" s="4">
        <v>0.20512820512820501</v>
      </c>
      <c r="D5" s="8">
        <v>0.23915</v>
      </c>
    </row>
    <row r="6" spans="1:4">
      <c r="A6" s="4" t="s">
        <v>39</v>
      </c>
      <c r="B6" s="4">
        <v>4.6242774566474E-2</v>
      </c>
      <c r="C6" s="4">
        <v>5.1282051282051301E-2</v>
      </c>
      <c r="D6" s="8">
        <v>6.0449999999999997E-2</v>
      </c>
    </row>
    <row r="7" spans="1:4">
      <c r="A7" s="4" t="s">
        <v>40</v>
      </c>
      <c r="B7" s="4">
        <v>4.3352601156069398E-2</v>
      </c>
      <c r="C7" s="4">
        <v>3.0769230769230799E-2</v>
      </c>
      <c r="D7" s="8">
        <v>3.5725E-2</v>
      </c>
    </row>
    <row r="8" spans="1:4">
      <c r="A8" s="4" t="s">
        <v>41</v>
      </c>
      <c r="B8" s="4">
        <v>8.6705202312138702E-3</v>
      </c>
      <c r="C8" s="4">
        <v>5.1282051282051299E-3</v>
      </c>
      <c r="D8" s="8">
        <v>4.4250000000000001E-3</v>
      </c>
    </row>
    <row r="9" spans="1:4">
      <c r="A9" s="4" t="s">
        <v>42</v>
      </c>
      <c r="B9" s="4">
        <v>6.3583815028901702E-2</v>
      </c>
      <c r="C9" s="4">
        <v>7.1794871794871803E-2</v>
      </c>
      <c r="D9" s="8">
        <v>0.112375</v>
      </c>
    </row>
    <row r="10" spans="1:4">
      <c r="A10" s="4" t="s">
        <v>43</v>
      </c>
      <c r="B10" s="4">
        <v>0.14739884393063599</v>
      </c>
      <c r="C10" s="4">
        <v>0.143589743589744</v>
      </c>
      <c r="D10" s="8">
        <v>0.124225</v>
      </c>
    </row>
    <row r="11" spans="1:4">
      <c r="A11" s="4" t="s">
        <v>44</v>
      </c>
      <c r="B11" s="4">
        <v>4.9132947976878602E-2</v>
      </c>
      <c r="C11" s="4">
        <v>3.5897435897435902E-2</v>
      </c>
      <c r="D11" s="8">
        <v>5.3350000000000002E-2</v>
      </c>
    </row>
    <row r="12" spans="1:4">
      <c r="A12" s="4" t="s">
        <v>45</v>
      </c>
      <c r="B12" s="4">
        <v>0.11271676300578</v>
      </c>
      <c r="C12" s="4">
        <v>0.16923076923076899</v>
      </c>
      <c r="D12" s="8">
        <v>0.14232500000000001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C2551-57F0-4247-9D57-83E74B0BFBF5}">
  <sheetPr codeName="Sheet5"/>
  <dimension ref="A1:E5"/>
  <sheetViews>
    <sheetView workbookViewId="0"/>
  </sheetViews>
  <sheetFormatPr defaultRowHeight="15"/>
  <cols>
    <col min="1" max="1" width="14.5703125" bestFit="1" customWidth="1"/>
    <col min="2" max="2" width="21.28515625" bestFit="1" customWidth="1"/>
    <col min="3" max="3" width="22.5703125" bestFit="1" customWidth="1"/>
    <col min="4" max="4" width="13.5703125" bestFit="1" customWidth="1"/>
  </cols>
  <sheetData>
    <row r="1" spans="1:5">
      <c r="A1" s="1" t="s">
        <v>46</v>
      </c>
      <c r="B1" s="1" t="s">
        <v>1</v>
      </c>
      <c r="C1" s="4" t="s">
        <v>2</v>
      </c>
      <c r="D1" t="s">
        <v>35</v>
      </c>
      <c r="E1" s="1"/>
    </row>
    <row r="2" spans="1:5">
      <c r="A2" s="1" t="s">
        <v>13</v>
      </c>
      <c r="B2" s="1">
        <v>0.47109826589595399</v>
      </c>
      <c r="C2" s="1">
        <v>0.41025641025641002</v>
      </c>
      <c r="D2">
        <v>0.57347499999999996</v>
      </c>
      <c r="E2" s="1"/>
    </row>
    <row r="3" spans="1:5">
      <c r="A3" s="1" t="s">
        <v>47</v>
      </c>
      <c r="B3" s="1">
        <v>0.239884393063584</v>
      </c>
      <c r="C3" s="1">
        <v>0.22564102564102601</v>
      </c>
      <c r="D3">
        <v>0.2402</v>
      </c>
      <c r="E3" s="1"/>
    </row>
    <row r="4" spans="1:5">
      <c r="A4" s="1" t="s">
        <v>8</v>
      </c>
      <c r="B4" s="1">
        <v>6.9364161849711004E-2</v>
      </c>
      <c r="C4" s="1">
        <v>6.15384615384615E-2</v>
      </c>
      <c r="D4">
        <v>5.1525000000000001E-2</v>
      </c>
      <c r="E4" s="1"/>
    </row>
    <row r="5" spans="1:5">
      <c r="A5" s="1" t="s">
        <v>48</v>
      </c>
      <c r="B5" s="1">
        <v>0.219653179190751</v>
      </c>
      <c r="C5" s="1">
        <v>0.30256410256410299</v>
      </c>
      <c r="D5">
        <v>0.1348</v>
      </c>
      <c r="E5" s="1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C4F8A2-31E8-4C54-A6A4-352220367F68}">
  <sheetPr codeName="Sheet21"/>
  <dimension ref="A1:E9"/>
  <sheetViews>
    <sheetView workbookViewId="0"/>
  </sheetViews>
  <sheetFormatPr defaultRowHeight="15"/>
  <cols>
    <col min="1" max="1" width="16.28515625" bestFit="1" customWidth="1"/>
    <col min="2" max="2" width="21.28515625" bestFit="1" customWidth="1"/>
    <col min="3" max="3" width="22.5703125" bestFit="1" customWidth="1"/>
    <col min="4" max="4" width="13.5703125" bestFit="1" customWidth="1"/>
  </cols>
  <sheetData>
    <row r="1" spans="1:5">
      <c r="A1" s="1" t="s">
        <v>49</v>
      </c>
      <c r="B1" s="1" t="s">
        <v>1</v>
      </c>
      <c r="C1" s="4" t="s">
        <v>2</v>
      </c>
      <c r="D1" t="s">
        <v>35</v>
      </c>
      <c r="E1" s="1"/>
    </row>
    <row r="2" spans="1:5">
      <c r="A2" s="1" t="s">
        <v>13</v>
      </c>
      <c r="B2" s="1">
        <v>0.560693641618497</v>
      </c>
      <c r="C2" s="1">
        <v>0.54358974358974399</v>
      </c>
      <c r="D2">
        <v>0.55700000000000005</v>
      </c>
      <c r="E2" s="1"/>
    </row>
    <row r="3" spans="1:5">
      <c r="A3" s="1" t="s">
        <v>50</v>
      </c>
      <c r="B3" s="1">
        <v>0.32369942196531798</v>
      </c>
      <c r="C3" s="1">
        <v>0.30769230769230799</v>
      </c>
      <c r="D3">
        <v>0.32847500000000002</v>
      </c>
      <c r="E3" s="1"/>
    </row>
    <row r="4" spans="1:5">
      <c r="A4" s="1" t="s">
        <v>51</v>
      </c>
      <c r="B4" s="1">
        <v>3.17919075144509E-2</v>
      </c>
      <c r="C4" s="1">
        <v>4.1025641025640998E-2</v>
      </c>
      <c r="D4">
        <v>2.4125000000000001E-2</v>
      </c>
      <c r="E4" s="1"/>
    </row>
    <row r="5" spans="1:5">
      <c r="A5" s="1" t="s">
        <v>52</v>
      </c>
      <c r="B5" s="1">
        <v>2.0231213872832401E-2</v>
      </c>
      <c r="C5" s="1">
        <v>1.02564102564103E-2</v>
      </c>
      <c r="D5">
        <v>1.9924999999999998E-2</v>
      </c>
      <c r="E5" s="1"/>
    </row>
    <row r="6" spans="1:5">
      <c r="A6" s="1" t="s">
        <v>53</v>
      </c>
      <c r="B6" s="1">
        <v>2.8901734104046201E-2</v>
      </c>
      <c r="C6" s="1">
        <v>5.6410256410256397E-2</v>
      </c>
      <c r="D6">
        <v>2.3224999999999999E-2</v>
      </c>
      <c r="E6" s="1"/>
    </row>
    <row r="7" spans="1:5">
      <c r="A7" s="1" t="s">
        <v>54</v>
      </c>
      <c r="B7" s="1">
        <v>5.78034682080925E-3</v>
      </c>
      <c r="C7" s="1">
        <v>5.1282051282051299E-3</v>
      </c>
      <c r="D7">
        <v>1.29E-2</v>
      </c>
      <c r="E7" s="1"/>
    </row>
    <row r="8" spans="1:5">
      <c r="A8" s="1" t="s">
        <v>55</v>
      </c>
      <c r="B8" s="1">
        <v>2.3121387283237E-2</v>
      </c>
      <c r="C8" s="1">
        <v>2.0512820512820499E-2</v>
      </c>
      <c r="D8">
        <v>1.23E-2</v>
      </c>
      <c r="E8" s="1"/>
    </row>
    <row r="9" spans="1:5">
      <c r="A9" s="1" t="s">
        <v>56</v>
      </c>
      <c r="B9" s="1">
        <v>5.78034682080925E-3</v>
      </c>
      <c r="C9" s="1">
        <v>1.5384615384615399E-2</v>
      </c>
      <c r="D9">
        <v>2.205E-2</v>
      </c>
      <c r="E9" s="1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64043-E7A5-47B0-B450-86E9A9321AF5}">
  <sheetPr codeName="Sheet22"/>
  <dimension ref="A1:E9"/>
  <sheetViews>
    <sheetView workbookViewId="0"/>
  </sheetViews>
  <sheetFormatPr defaultRowHeight="15"/>
  <cols>
    <col min="1" max="1" width="18.5703125" bestFit="1" customWidth="1"/>
    <col min="2" max="2" width="21.28515625" bestFit="1" customWidth="1"/>
    <col min="3" max="3" width="22.5703125" bestFit="1" customWidth="1"/>
    <col min="4" max="4" width="13.5703125" bestFit="1" customWidth="1"/>
  </cols>
  <sheetData>
    <row r="1" spans="1:5">
      <c r="A1" s="1" t="s">
        <v>57</v>
      </c>
      <c r="B1" s="1" t="s">
        <v>1</v>
      </c>
      <c r="C1" s="4" t="s">
        <v>2</v>
      </c>
      <c r="D1" t="s">
        <v>35</v>
      </c>
      <c r="E1" s="1"/>
    </row>
    <row r="2" spans="1:5">
      <c r="A2" s="1" t="s">
        <v>13</v>
      </c>
      <c r="B2" s="1">
        <v>0.56358381502890198</v>
      </c>
      <c r="C2" s="1">
        <v>0.55897435897435899</v>
      </c>
      <c r="D2">
        <v>0.57394999999999996</v>
      </c>
      <c r="E2" s="1"/>
    </row>
    <row r="3" spans="1:5">
      <c r="A3" s="1" t="s">
        <v>50</v>
      </c>
      <c r="B3" s="1">
        <v>0.23121387283236999</v>
      </c>
      <c r="C3" s="1">
        <v>0.22564102564102601</v>
      </c>
      <c r="D3">
        <v>0.26019999999999999</v>
      </c>
      <c r="E3" s="1"/>
    </row>
    <row r="4" spans="1:5">
      <c r="A4" s="1" t="s">
        <v>51</v>
      </c>
      <c r="B4" s="1">
        <v>2.6011560693641599E-2</v>
      </c>
      <c r="C4" s="1">
        <v>2.0512820512820499E-2</v>
      </c>
      <c r="D4">
        <v>2.4424999999999999E-2</v>
      </c>
      <c r="E4" s="1"/>
    </row>
    <row r="5" spans="1:5">
      <c r="A5" s="1" t="s">
        <v>52</v>
      </c>
      <c r="B5" s="1">
        <v>2.8901734104046201E-2</v>
      </c>
      <c r="C5" s="1">
        <v>3.5897435897435902E-2</v>
      </c>
      <c r="D5">
        <v>3.15E-2</v>
      </c>
      <c r="E5" s="1"/>
    </row>
    <row r="6" spans="1:5">
      <c r="A6" s="1" t="s">
        <v>53</v>
      </c>
      <c r="B6" s="1">
        <v>2.3121387283237E-2</v>
      </c>
      <c r="C6" s="1">
        <v>1.5384615384615399E-2</v>
      </c>
      <c r="D6">
        <v>1.5800000000000002E-2</v>
      </c>
      <c r="E6" s="1"/>
    </row>
    <row r="7" spans="1:5">
      <c r="A7" s="1" t="s">
        <v>54</v>
      </c>
      <c r="B7" s="1">
        <v>5.78034682080925E-3</v>
      </c>
      <c r="C7" s="1">
        <v>2.0512820512820499E-2</v>
      </c>
      <c r="D7">
        <v>5.9500000000000004E-3</v>
      </c>
      <c r="E7" s="1"/>
    </row>
    <row r="8" spans="1:5">
      <c r="A8" s="1" t="s">
        <v>55</v>
      </c>
      <c r="B8" s="1">
        <v>2.6011560693641599E-2</v>
      </c>
      <c r="C8" s="1">
        <v>2.0512820512820499E-2</v>
      </c>
      <c r="D8">
        <v>4.1999999999999997E-3</v>
      </c>
      <c r="E8" s="1"/>
    </row>
    <row r="9" spans="1:5">
      <c r="A9" s="1" t="s">
        <v>56</v>
      </c>
      <c r="B9" s="1">
        <v>9.5375722543352595E-2</v>
      </c>
      <c r="C9" s="1">
        <v>0.102564102564103</v>
      </c>
      <c r="D9">
        <v>8.3974999999999994E-2</v>
      </c>
      <c r="E9" s="1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A6101-3F9E-4189-A488-58D4ECF27D32}">
  <sheetPr codeName="Sheet6"/>
  <dimension ref="A1:E3"/>
  <sheetViews>
    <sheetView workbookViewId="0"/>
  </sheetViews>
  <sheetFormatPr defaultRowHeight="15"/>
  <cols>
    <col min="1" max="1" width="19" bestFit="1" customWidth="1"/>
    <col min="2" max="2" width="21.28515625" bestFit="1" customWidth="1"/>
    <col min="3" max="3" width="22.5703125" bestFit="1" customWidth="1"/>
    <col min="4" max="4" width="13.5703125" bestFit="1" customWidth="1"/>
  </cols>
  <sheetData>
    <row r="1" spans="1:5">
      <c r="A1" s="1" t="s">
        <v>58</v>
      </c>
      <c r="B1" s="1" t="s">
        <v>1</v>
      </c>
      <c r="C1" s="4" t="s">
        <v>2</v>
      </c>
      <c r="D1" t="s">
        <v>35</v>
      </c>
      <c r="E1" s="1"/>
    </row>
    <row r="2" spans="1:5">
      <c r="A2" s="1" t="s">
        <v>10</v>
      </c>
      <c r="B2" s="1">
        <v>0.99710982658959502</v>
      </c>
      <c r="C2" s="1">
        <v>0.994871794871795</v>
      </c>
      <c r="D2">
        <v>0.985375</v>
      </c>
      <c r="E2" s="1"/>
    </row>
    <row r="3" spans="1:5">
      <c r="A3" s="1" t="s">
        <v>11</v>
      </c>
      <c r="B3" s="1">
        <v>2.8901734104046198E-3</v>
      </c>
      <c r="C3" s="1">
        <v>5.1282051282051299E-3</v>
      </c>
      <c r="D3">
        <v>1.4625000000000001E-2</v>
      </c>
      <c r="E3" s="1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5C47E-CE7A-49E6-9B70-536694F6D27D}">
  <sheetPr codeName="Sheet7"/>
  <dimension ref="A1:E6"/>
  <sheetViews>
    <sheetView workbookViewId="0"/>
  </sheetViews>
  <sheetFormatPr defaultRowHeight="15"/>
  <cols>
    <col min="1" max="1" width="19.5703125" bestFit="1" customWidth="1"/>
    <col min="2" max="2" width="21.28515625" bestFit="1" customWidth="1"/>
    <col min="3" max="3" width="22.5703125" bestFit="1" customWidth="1"/>
    <col min="4" max="4" width="13.5703125" bestFit="1" customWidth="1"/>
  </cols>
  <sheetData>
    <row r="1" spans="1:5">
      <c r="A1" s="1" t="s">
        <v>59</v>
      </c>
      <c r="B1" s="1" t="s">
        <v>1</v>
      </c>
      <c r="C1" s="4" t="s">
        <v>2</v>
      </c>
      <c r="D1" t="s">
        <v>35</v>
      </c>
      <c r="E1" s="1"/>
    </row>
    <row r="2" spans="1:5">
      <c r="A2" s="1" t="s">
        <v>60</v>
      </c>
      <c r="B2" s="1">
        <v>0.20809248554913301</v>
      </c>
      <c r="C2" s="1">
        <v>0.18461538461538499</v>
      </c>
      <c r="D2">
        <v>0.1588</v>
      </c>
      <c r="E2" s="1"/>
    </row>
    <row r="3" spans="1:5">
      <c r="A3" s="1" t="s">
        <v>61</v>
      </c>
      <c r="B3" s="1">
        <v>5.2023121387283197E-2</v>
      </c>
      <c r="C3" s="1">
        <v>9.2307692307692299E-2</v>
      </c>
      <c r="D3">
        <v>6.4975000000000005E-2</v>
      </c>
      <c r="E3" s="1"/>
    </row>
    <row r="4" spans="1:5">
      <c r="A4" s="1" t="s">
        <v>62</v>
      </c>
      <c r="B4" s="1">
        <v>2.0231213872832401E-2</v>
      </c>
      <c r="C4" s="1">
        <v>5.1282051282051299E-3</v>
      </c>
      <c r="D4">
        <v>3.6824999999999997E-2</v>
      </c>
      <c r="E4" s="1"/>
    </row>
    <row r="5" spans="1:5">
      <c r="A5" s="1" t="s">
        <v>63</v>
      </c>
      <c r="B5" s="1">
        <v>6.3583815028901702E-2</v>
      </c>
      <c r="C5" s="1">
        <v>7.1794871794871803E-2</v>
      </c>
      <c r="D5">
        <v>3.5374999999999997E-2</v>
      </c>
      <c r="E5" s="1"/>
    </row>
    <row r="6" spans="1:5">
      <c r="A6" s="1" t="s">
        <v>8</v>
      </c>
      <c r="B6" s="1">
        <v>0.65606936416185002</v>
      </c>
      <c r="C6" s="1">
        <v>0.64615384615384597</v>
      </c>
      <c r="D6">
        <v>0.70402500000000001</v>
      </c>
      <c r="E6" s="1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4A933-A962-4273-96E7-D4F7DE46238F}">
  <sheetPr codeName="Sheet8"/>
  <dimension ref="A1:E4"/>
  <sheetViews>
    <sheetView workbookViewId="0"/>
  </sheetViews>
  <sheetFormatPr defaultRowHeight="15"/>
  <cols>
    <col min="1" max="1" width="15" bestFit="1" customWidth="1"/>
    <col min="2" max="2" width="21.28515625" bestFit="1" customWidth="1"/>
    <col min="3" max="3" width="22.5703125" bestFit="1" customWidth="1"/>
    <col min="4" max="4" width="13.5703125" bestFit="1" customWidth="1"/>
  </cols>
  <sheetData>
    <row r="1" spans="1:5">
      <c r="A1" s="1" t="s">
        <v>64</v>
      </c>
      <c r="B1" s="1" t="s">
        <v>1</v>
      </c>
      <c r="C1" s="4" t="s">
        <v>2</v>
      </c>
      <c r="D1" t="s">
        <v>35</v>
      </c>
      <c r="E1" s="1"/>
    </row>
    <row r="2" spans="1:5">
      <c r="A2" s="1" t="s">
        <v>65</v>
      </c>
      <c r="B2" s="1">
        <v>0.33815028901734101</v>
      </c>
      <c r="C2" s="1">
        <v>0.47692307692307701</v>
      </c>
      <c r="D2">
        <v>0.31362499999999999</v>
      </c>
      <c r="E2" s="1"/>
    </row>
    <row r="3" spans="1:5">
      <c r="A3" s="1" t="s">
        <v>66</v>
      </c>
      <c r="B3" s="1">
        <v>0.56358381502890198</v>
      </c>
      <c r="C3" s="1">
        <v>0.43589743589743601</v>
      </c>
      <c r="D3">
        <v>0.57879999999999998</v>
      </c>
      <c r="E3" s="1"/>
    </row>
    <row r="4" spans="1:5">
      <c r="A4" s="1" t="s">
        <v>8</v>
      </c>
      <c r="B4" s="1">
        <v>9.8265895953757204E-2</v>
      </c>
      <c r="C4" s="1">
        <v>8.7179487179487203E-2</v>
      </c>
      <c r="D4">
        <v>0.107575</v>
      </c>
      <c r="E4" s="1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DE0AA-2895-4CB6-8DE0-CF86EFF51995}">
  <sheetPr codeName="Sheet9"/>
  <dimension ref="A1:E3"/>
  <sheetViews>
    <sheetView workbookViewId="0"/>
  </sheetViews>
  <sheetFormatPr defaultRowHeight="15"/>
  <cols>
    <col min="1" max="1" width="10.5703125" bestFit="1" customWidth="1"/>
    <col min="2" max="2" width="21.28515625" bestFit="1" customWidth="1"/>
    <col min="3" max="3" width="22.5703125" bestFit="1" customWidth="1"/>
    <col min="4" max="4" width="13.5703125" bestFit="1" customWidth="1"/>
  </cols>
  <sheetData>
    <row r="1" spans="1:5">
      <c r="A1" s="1" t="s">
        <v>67</v>
      </c>
      <c r="B1" s="1" t="s">
        <v>1</v>
      </c>
      <c r="C1" s="4" t="s">
        <v>2</v>
      </c>
      <c r="D1" t="s">
        <v>35</v>
      </c>
      <c r="E1" s="1"/>
    </row>
    <row r="2" spans="1:5">
      <c r="A2" s="1" t="s">
        <v>10</v>
      </c>
      <c r="B2" s="1">
        <v>0.959537572254335</v>
      </c>
      <c r="C2" s="1">
        <v>0.979487179487179</v>
      </c>
      <c r="D2">
        <v>0.95862499999999995</v>
      </c>
      <c r="E2" s="1"/>
    </row>
    <row r="3" spans="1:5">
      <c r="A3" s="1" t="s">
        <v>11</v>
      </c>
      <c r="B3" s="1">
        <v>4.0462427745664699E-2</v>
      </c>
      <c r="C3" s="1">
        <v>2.0512820512820499E-2</v>
      </c>
      <c r="D3">
        <v>4.1375000000000002E-2</v>
      </c>
      <c r="E3" s="1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F7B74-198F-49AB-AA6C-2CFACEA02E42}">
  <sheetPr codeName="Sheet10"/>
  <dimension ref="A1:E12"/>
  <sheetViews>
    <sheetView workbookViewId="0"/>
  </sheetViews>
  <sheetFormatPr defaultRowHeight="15"/>
  <cols>
    <col min="1" max="1" width="20.140625" bestFit="1" customWidth="1"/>
    <col min="2" max="2" width="21.28515625" bestFit="1" customWidth="1"/>
    <col min="3" max="3" width="22.5703125" bestFit="1" customWidth="1"/>
    <col min="4" max="4" width="13.5703125" bestFit="1" customWidth="1"/>
  </cols>
  <sheetData>
    <row r="1" spans="1:5">
      <c r="A1" s="1" t="s">
        <v>68</v>
      </c>
      <c r="B1" s="1" t="s">
        <v>1</v>
      </c>
      <c r="C1" s="4" t="s">
        <v>2</v>
      </c>
      <c r="D1" t="s">
        <v>35</v>
      </c>
      <c r="E1" s="1"/>
    </row>
    <row r="2" spans="1:5">
      <c r="A2" s="1" t="s">
        <v>14</v>
      </c>
      <c r="B2" s="1">
        <v>0.42196531791907499</v>
      </c>
      <c r="C2" s="1">
        <v>0.38974358974359002</v>
      </c>
      <c r="D2">
        <v>0.54559999999999997</v>
      </c>
      <c r="E2" s="1"/>
    </row>
    <row r="3" spans="1:5">
      <c r="A3" s="1" t="s">
        <v>15</v>
      </c>
      <c r="B3" s="1">
        <v>0.16184971098265899</v>
      </c>
      <c r="C3" s="1">
        <v>0.138461538461538</v>
      </c>
      <c r="D3">
        <v>0.1182</v>
      </c>
      <c r="E3" s="1"/>
    </row>
    <row r="4" spans="1:5">
      <c r="A4" s="1" t="s">
        <v>16</v>
      </c>
      <c r="B4" s="1">
        <v>8.0924855491329495E-2</v>
      </c>
      <c r="C4" s="1">
        <v>0.102564102564103</v>
      </c>
      <c r="D4">
        <v>8.8374999999999995E-2</v>
      </c>
      <c r="E4" s="1"/>
    </row>
    <row r="5" spans="1:5">
      <c r="A5" s="1" t="s">
        <v>17</v>
      </c>
      <c r="B5" s="1">
        <v>0.135838150289017</v>
      </c>
      <c r="C5" s="1">
        <v>0.107692307692308</v>
      </c>
      <c r="D5">
        <v>6.9525000000000003E-2</v>
      </c>
      <c r="E5" s="1"/>
    </row>
    <row r="6" spans="1:5">
      <c r="A6" s="1" t="s">
        <v>18</v>
      </c>
      <c r="B6" s="1">
        <v>6.6473988439306395E-2</v>
      </c>
      <c r="C6" s="1">
        <v>0.107692307692308</v>
      </c>
      <c r="D6">
        <v>4.0099999999999997E-2</v>
      </c>
      <c r="E6" s="1"/>
    </row>
    <row r="7" spans="1:5">
      <c r="A7" s="1" t="s">
        <v>19</v>
      </c>
      <c r="B7" s="1">
        <v>5.7803468208092498E-2</v>
      </c>
      <c r="C7" s="1">
        <v>4.1025641025640998E-2</v>
      </c>
      <c r="D7">
        <v>4.3575000000000003E-2</v>
      </c>
      <c r="E7" s="1"/>
    </row>
    <row r="8" spans="1:5">
      <c r="A8" s="1" t="s">
        <v>20</v>
      </c>
      <c r="B8" s="1">
        <v>2.8901734104046201E-2</v>
      </c>
      <c r="C8" s="1">
        <v>1.5384615384615399E-2</v>
      </c>
      <c r="D8">
        <v>1.66E-2</v>
      </c>
      <c r="E8" s="1"/>
    </row>
    <row r="9" spans="1:5">
      <c r="A9" s="1" t="s">
        <v>21</v>
      </c>
      <c r="B9" s="1">
        <v>5.78034682080925E-3</v>
      </c>
      <c r="C9" s="1">
        <v>1.02564102564103E-2</v>
      </c>
      <c r="D9">
        <v>9.9249999999999998E-3</v>
      </c>
      <c r="E9" s="1"/>
    </row>
    <row r="10" spans="1:5">
      <c r="A10" s="1" t="s">
        <v>22</v>
      </c>
      <c r="B10" s="1">
        <v>0</v>
      </c>
      <c r="C10" s="1">
        <v>0</v>
      </c>
      <c r="D10">
        <v>6.45E-3</v>
      </c>
      <c r="E10" s="1"/>
    </row>
    <row r="11" spans="1:5">
      <c r="A11" s="1" t="s">
        <v>23</v>
      </c>
      <c r="B11" s="1">
        <v>2.8901734104046198E-3</v>
      </c>
      <c r="C11" s="1">
        <v>0</v>
      </c>
      <c r="D11">
        <v>3.4499999999999999E-3</v>
      </c>
      <c r="E11" s="1"/>
    </row>
    <row r="12" spans="1:5">
      <c r="A12" s="1" t="s">
        <v>8</v>
      </c>
      <c r="B12" s="1">
        <v>3.7572254335260097E-2</v>
      </c>
      <c r="C12" s="1">
        <v>8.7179487179487203E-2</v>
      </c>
      <c r="D12">
        <v>5.8200000000000002E-2</v>
      </c>
      <c r="E12" s="1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49C62-392C-4B57-9BF7-78AA6EB29153}">
  <sheetPr codeName="Sheet11"/>
  <dimension ref="A1:E11"/>
  <sheetViews>
    <sheetView workbookViewId="0"/>
  </sheetViews>
  <sheetFormatPr defaultRowHeight="15"/>
  <cols>
    <col min="1" max="1" width="19.42578125" bestFit="1" customWidth="1"/>
    <col min="2" max="2" width="21.28515625" bestFit="1" customWidth="1"/>
    <col min="3" max="3" width="22.5703125" bestFit="1" customWidth="1"/>
    <col min="4" max="4" width="13.5703125" bestFit="1" customWidth="1"/>
  </cols>
  <sheetData>
    <row r="1" spans="1:5">
      <c r="A1" s="1" t="s">
        <v>69</v>
      </c>
      <c r="B1" s="1" t="s">
        <v>1</v>
      </c>
      <c r="C1" s="4" t="s">
        <v>2</v>
      </c>
      <c r="D1" t="s">
        <v>35</v>
      </c>
      <c r="E1" s="1"/>
    </row>
    <row r="2" spans="1:5">
      <c r="A2" s="1" t="s">
        <v>25</v>
      </c>
      <c r="B2" s="1">
        <v>0.34104046242774599</v>
      </c>
      <c r="C2" s="1">
        <v>0.37948717948717903</v>
      </c>
      <c r="D2">
        <v>0.524675</v>
      </c>
      <c r="E2" s="1"/>
    </row>
    <row r="3" spans="1:5">
      <c r="A3" s="1" t="s">
        <v>26</v>
      </c>
      <c r="B3" s="1">
        <v>0.15028901734104</v>
      </c>
      <c r="C3" s="1">
        <v>9.7435897435897395E-2</v>
      </c>
      <c r="D3">
        <v>9.8174999999999998E-2</v>
      </c>
      <c r="E3" s="1"/>
    </row>
    <row r="4" spans="1:5">
      <c r="A4" s="1" t="s">
        <v>27</v>
      </c>
      <c r="B4" s="1">
        <v>0.16184971098265899</v>
      </c>
      <c r="C4" s="1">
        <v>0.17948717948717899</v>
      </c>
      <c r="D4">
        <v>0.11020000000000001</v>
      </c>
      <c r="E4" s="1"/>
    </row>
    <row r="5" spans="1:5">
      <c r="A5" s="1" t="s">
        <v>28</v>
      </c>
      <c r="B5" s="1">
        <v>9.5375722543352595E-2</v>
      </c>
      <c r="C5" s="1">
        <v>0.117948717948718</v>
      </c>
      <c r="D5">
        <v>6.2175000000000001E-2</v>
      </c>
      <c r="E5" s="1"/>
    </row>
    <row r="6" spans="1:5">
      <c r="A6" s="1" t="s">
        <v>29</v>
      </c>
      <c r="B6" s="1">
        <v>5.2023121387283197E-2</v>
      </c>
      <c r="C6" s="1">
        <v>3.5897435897435902E-2</v>
      </c>
      <c r="D6">
        <v>4.0425000000000003E-2</v>
      </c>
      <c r="E6" s="1"/>
    </row>
    <row r="7" spans="1:5">
      <c r="A7" s="1" t="s">
        <v>30</v>
      </c>
      <c r="B7" s="1">
        <v>5.4913294797687903E-2</v>
      </c>
      <c r="C7" s="1">
        <v>2.5641025641025599E-2</v>
      </c>
      <c r="D7">
        <v>2.4074999999999999E-2</v>
      </c>
      <c r="E7" s="1"/>
    </row>
    <row r="8" spans="1:5">
      <c r="A8" s="1" t="s">
        <v>31</v>
      </c>
      <c r="B8" s="1">
        <v>4.9132947976878602E-2</v>
      </c>
      <c r="C8" s="1">
        <v>3.0769230769230799E-2</v>
      </c>
      <c r="D8">
        <v>3.4625000000000003E-2</v>
      </c>
      <c r="E8" s="1"/>
    </row>
    <row r="9" spans="1:5">
      <c r="A9" s="1" t="s">
        <v>32</v>
      </c>
      <c r="B9" s="1">
        <v>5.78034682080925E-3</v>
      </c>
      <c r="C9" s="1">
        <v>2.0512820512820499E-2</v>
      </c>
      <c r="D9">
        <v>1.2075000000000001E-2</v>
      </c>
      <c r="E9" s="1"/>
    </row>
    <row r="10" spans="1:5">
      <c r="A10" s="1" t="s">
        <v>33</v>
      </c>
      <c r="B10" s="1">
        <v>1.7341040462427699E-2</v>
      </c>
      <c r="C10" s="1">
        <v>1.5384615384615399E-2</v>
      </c>
      <c r="D10">
        <v>2.7550000000000002E-2</v>
      </c>
      <c r="E10" s="1"/>
    </row>
    <row r="11" spans="1:5">
      <c r="A11" s="1" t="s">
        <v>8</v>
      </c>
      <c r="B11" s="1">
        <v>7.2254335260115599E-2</v>
      </c>
      <c r="C11" s="1">
        <v>9.7435897435897395E-2</v>
      </c>
      <c r="D11">
        <v>6.6025E-2</v>
      </c>
      <c r="E11" s="1"/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609AA-70BC-4BB9-B0F9-FBE741A6611B}">
  <sheetPr codeName="Sheet12"/>
  <dimension ref="A1:G55"/>
  <sheetViews>
    <sheetView workbookViewId="0"/>
  </sheetViews>
  <sheetFormatPr defaultRowHeight="15"/>
  <cols>
    <col min="1" max="1" width="37.28515625" bestFit="1" customWidth="1"/>
    <col min="2" max="2" width="21.28515625" bestFit="1" customWidth="1"/>
    <col min="3" max="3" width="22.5703125" bestFit="1" customWidth="1"/>
    <col min="4" max="4" width="13.5703125" bestFit="1" customWidth="1"/>
    <col min="6" max="6" width="45.42578125" bestFit="1" customWidth="1"/>
  </cols>
  <sheetData>
    <row r="1" spans="1:6">
      <c r="A1" s="1" t="s">
        <v>70</v>
      </c>
      <c r="B1" s="1" t="s">
        <v>1</v>
      </c>
      <c r="C1" s="4" t="s">
        <v>2</v>
      </c>
      <c r="D1" t="s">
        <v>35</v>
      </c>
      <c r="E1" s="1"/>
    </row>
    <row r="2" spans="1:6">
      <c r="A2" s="1" t="s">
        <v>13</v>
      </c>
      <c r="B2" s="1">
        <v>5.7803468208092498E-2</v>
      </c>
      <c r="C2" s="1">
        <v>3.5897435897435902E-2</v>
      </c>
      <c r="D2">
        <v>0.12242500000000001</v>
      </c>
      <c r="E2" s="1"/>
    </row>
    <row r="3" spans="1:6">
      <c r="A3" s="1" t="s">
        <v>71</v>
      </c>
      <c r="B3" s="1">
        <v>8.6705202312138702E-3</v>
      </c>
      <c r="C3" s="1">
        <v>1.02564102564103E-2</v>
      </c>
      <c r="D3">
        <v>0</v>
      </c>
      <c r="E3" s="1"/>
    </row>
    <row r="4" spans="1:6">
      <c r="A4" s="1" t="s">
        <v>72</v>
      </c>
      <c r="B4" s="1">
        <v>0</v>
      </c>
      <c r="C4" s="1">
        <v>1.5384615384615399E-2</v>
      </c>
      <c r="D4">
        <v>0</v>
      </c>
      <c r="E4" s="1"/>
    </row>
    <row r="5" spans="1:6">
      <c r="A5" s="1" t="s">
        <v>73</v>
      </c>
      <c r="B5" s="1">
        <v>0</v>
      </c>
      <c r="C5" s="1">
        <v>0</v>
      </c>
      <c r="D5">
        <v>1.7075E-2</v>
      </c>
      <c r="E5" s="1"/>
      <c r="F5" s="1"/>
    </row>
    <row r="6" spans="1:6">
      <c r="A6" s="1" t="s">
        <v>74</v>
      </c>
      <c r="B6" s="1">
        <v>0</v>
      </c>
      <c r="C6" s="1">
        <v>1.02564102564103E-2</v>
      </c>
      <c r="D6">
        <v>0</v>
      </c>
      <c r="E6" s="1"/>
    </row>
    <row r="7" spans="1:6">
      <c r="A7" s="1" t="s">
        <v>75</v>
      </c>
      <c r="B7" s="1">
        <v>2.3121387283237E-2</v>
      </c>
      <c r="C7" s="1">
        <v>1.5384615384615399E-2</v>
      </c>
      <c r="D7">
        <v>9.5499999999999995E-3</v>
      </c>
      <c r="E7" s="1"/>
    </row>
    <row r="8" spans="1:6">
      <c r="A8" s="1" t="s">
        <v>76</v>
      </c>
      <c r="B8" s="1">
        <v>5.7803468208092498E-2</v>
      </c>
      <c r="C8" s="1">
        <v>5.6410256410256397E-2</v>
      </c>
      <c r="D8">
        <v>2.6925000000000001E-2</v>
      </c>
      <c r="E8" s="1"/>
    </row>
    <row r="9" spans="1:6">
      <c r="A9" s="1" t="s">
        <v>77</v>
      </c>
      <c r="B9" s="1">
        <v>1.44508670520231E-2</v>
      </c>
      <c r="C9" s="1">
        <v>0</v>
      </c>
      <c r="D9">
        <v>0</v>
      </c>
      <c r="E9" s="1"/>
    </row>
    <row r="10" spans="1:6">
      <c r="A10" s="1" t="s">
        <v>78</v>
      </c>
      <c r="B10" s="1">
        <v>7.2254335260115599E-2</v>
      </c>
      <c r="C10" s="1">
        <v>3.5897435897435902E-2</v>
      </c>
      <c r="D10">
        <v>0</v>
      </c>
      <c r="E10" s="1"/>
    </row>
    <row r="11" spans="1:6">
      <c r="A11" s="1" t="s">
        <v>79</v>
      </c>
      <c r="B11" s="1">
        <v>1.7341040462427699E-2</v>
      </c>
      <c r="C11" s="1">
        <v>1.5384615384615399E-2</v>
      </c>
      <c r="D11">
        <v>0</v>
      </c>
      <c r="E11" s="1"/>
    </row>
    <row r="12" spans="1:6">
      <c r="A12" s="1" t="s">
        <v>80</v>
      </c>
      <c r="B12" s="1">
        <v>1.44508670520231E-2</v>
      </c>
      <c r="C12" s="1">
        <v>1.5384615384615399E-2</v>
      </c>
      <c r="D12">
        <v>0</v>
      </c>
      <c r="E12" s="1"/>
    </row>
    <row r="13" spans="1:6">
      <c r="A13" s="1" t="s">
        <v>81</v>
      </c>
      <c r="B13" s="1">
        <v>2.8901734104046201E-2</v>
      </c>
      <c r="C13" s="1">
        <v>2.0512820512820499E-2</v>
      </c>
      <c r="D13">
        <v>1.1724999999999999E-2</v>
      </c>
      <c r="E13" s="1"/>
    </row>
    <row r="14" spans="1:6">
      <c r="A14" s="1" t="s">
        <v>82</v>
      </c>
      <c r="B14" s="1">
        <v>1.44508670520231E-2</v>
      </c>
      <c r="C14" s="1">
        <v>0</v>
      </c>
      <c r="D14">
        <v>0</v>
      </c>
      <c r="E14" s="1"/>
    </row>
    <row r="15" spans="1:6">
      <c r="A15" s="1" t="s">
        <v>83</v>
      </c>
      <c r="B15" s="1">
        <v>2.8901734104046201E-2</v>
      </c>
      <c r="C15" s="1">
        <v>2.0512820512820499E-2</v>
      </c>
      <c r="D15">
        <v>1.1650000000000001E-2</v>
      </c>
      <c r="E15" s="1"/>
    </row>
    <row r="16" spans="1:6">
      <c r="A16" s="1" t="s">
        <v>84</v>
      </c>
      <c r="B16" s="1">
        <f>1-SUM(B2:B15)</f>
        <v>0.66184971098265921</v>
      </c>
      <c r="C16" s="1">
        <f t="shared" ref="C16:D16" si="0">1-SUM(C2:C15)</f>
        <v>0.74871794871794861</v>
      </c>
      <c r="D16">
        <f t="shared" si="0"/>
        <v>0.80064999999999997</v>
      </c>
      <c r="E16" s="1"/>
      <c r="F16" s="1"/>
    </row>
    <row r="17" spans="2:7">
      <c r="B17" t="e">
        <f t="shared" ref="B17:E18" si="1">VLOOKUP($A2,$G:$J,COLUMN(B16)-1,FALSE)</f>
        <v>#N/A</v>
      </c>
      <c r="C17" t="e">
        <f t="shared" si="1"/>
        <v>#N/A</v>
      </c>
      <c r="D17" t="e">
        <f t="shared" si="1"/>
        <v>#N/A</v>
      </c>
      <c r="E17" t="e">
        <f t="shared" si="1"/>
        <v>#N/A</v>
      </c>
    </row>
    <row r="18" spans="2:7">
      <c r="B18" t="e">
        <f t="shared" si="1"/>
        <v>#N/A</v>
      </c>
      <c r="C18" t="e">
        <f t="shared" si="1"/>
        <v>#N/A</v>
      </c>
      <c r="D18" t="e">
        <f t="shared" si="1"/>
        <v>#N/A</v>
      </c>
      <c r="E18" t="e">
        <f t="shared" si="1"/>
        <v>#N/A</v>
      </c>
    </row>
    <row r="19" spans="2:7">
      <c r="B19" s="1" t="s">
        <v>85</v>
      </c>
      <c r="C19">
        <v>0</v>
      </c>
      <c r="D19">
        <v>0</v>
      </c>
      <c r="E19">
        <v>0</v>
      </c>
    </row>
    <row r="20" spans="2:7">
      <c r="B20" t="e">
        <f t="shared" ref="B20:B32" si="2">VLOOKUP($A4,$G:$J,COLUMN(B19)-1,FALSE)</f>
        <v>#N/A</v>
      </c>
      <c r="C20" t="e">
        <f t="shared" ref="C20:C32" si="3">VLOOKUP($A4,$G:$J,COLUMN(C19)-1,FALSE)</f>
        <v>#N/A</v>
      </c>
      <c r="D20" t="e">
        <f t="shared" ref="D20:D32" si="4">VLOOKUP($A4,$G:$J,COLUMN(D19)-1,FALSE)</f>
        <v>#N/A</v>
      </c>
      <c r="E20" t="e">
        <f t="shared" ref="E20:E32" si="5">VLOOKUP($A4,$G:$J,COLUMN(E19)-1,FALSE)</f>
        <v>#N/A</v>
      </c>
    </row>
    <row r="21" spans="2:7">
      <c r="B21" t="e">
        <f t="shared" si="2"/>
        <v>#N/A</v>
      </c>
      <c r="C21" t="e">
        <f t="shared" si="3"/>
        <v>#N/A</v>
      </c>
      <c r="D21" t="e">
        <f t="shared" si="4"/>
        <v>#N/A</v>
      </c>
      <c r="E21" t="e">
        <f t="shared" si="5"/>
        <v>#N/A</v>
      </c>
    </row>
    <row r="22" spans="2:7">
      <c r="B22" t="e">
        <f t="shared" si="2"/>
        <v>#N/A</v>
      </c>
      <c r="C22" t="e">
        <f t="shared" si="3"/>
        <v>#N/A</v>
      </c>
      <c r="D22" t="e">
        <f t="shared" si="4"/>
        <v>#N/A</v>
      </c>
      <c r="E22" t="e">
        <f t="shared" si="5"/>
        <v>#N/A</v>
      </c>
    </row>
    <row r="23" spans="2:7">
      <c r="B23" t="e">
        <f t="shared" si="2"/>
        <v>#N/A</v>
      </c>
      <c r="C23" t="e">
        <f t="shared" si="3"/>
        <v>#N/A</v>
      </c>
      <c r="D23" t="e">
        <f t="shared" si="4"/>
        <v>#N/A</v>
      </c>
      <c r="E23" t="e">
        <f t="shared" si="5"/>
        <v>#N/A</v>
      </c>
    </row>
    <row r="24" spans="2:7">
      <c r="B24" t="e">
        <f t="shared" si="2"/>
        <v>#N/A</v>
      </c>
      <c r="C24" t="e">
        <f t="shared" si="3"/>
        <v>#N/A</v>
      </c>
      <c r="D24" t="e">
        <f t="shared" si="4"/>
        <v>#N/A</v>
      </c>
      <c r="E24" t="e">
        <f t="shared" si="5"/>
        <v>#N/A</v>
      </c>
    </row>
    <row r="25" spans="2:7">
      <c r="B25" t="e">
        <f t="shared" si="2"/>
        <v>#N/A</v>
      </c>
      <c r="C25" t="e">
        <f t="shared" si="3"/>
        <v>#N/A</v>
      </c>
      <c r="D25" t="e">
        <f t="shared" si="4"/>
        <v>#N/A</v>
      </c>
      <c r="E25" t="e">
        <f t="shared" si="5"/>
        <v>#N/A</v>
      </c>
    </row>
    <row r="26" spans="2:7">
      <c r="B26" t="e">
        <f t="shared" si="2"/>
        <v>#N/A</v>
      </c>
      <c r="C26" t="e">
        <f t="shared" si="3"/>
        <v>#N/A</v>
      </c>
      <c r="D26" t="e">
        <f t="shared" si="4"/>
        <v>#N/A</v>
      </c>
      <c r="E26" t="e">
        <f t="shared" si="5"/>
        <v>#N/A</v>
      </c>
      <c r="G26" s="1"/>
    </row>
    <row r="27" spans="2:7">
      <c r="B27" t="e">
        <f t="shared" si="2"/>
        <v>#N/A</v>
      </c>
      <c r="C27" t="e">
        <f t="shared" si="3"/>
        <v>#N/A</v>
      </c>
      <c r="D27" t="e">
        <f t="shared" si="4"/>
        <v>#N/A</v>
      </c>
      <c r="E27" t="e">
        <f t="shared" si="5"/>
        <v>#N/A</v>
      </c>
    </row>
    <row r="28" spans="2:7">
      <c r="B28" t="e">
        <f t="shared" si="2"/>
        <v>#N/A</v>
      </c>
      <c r="C28" t="e">
        <f t="shared" si="3"/>
        <v>#N/A</v>
      </c>
      <c r="D28" t="e">
        <f t="shared" si="4"/>
        <v>#N/A</v>
      </c>
      <c r="E28" t="e">
        <f t="shared" si="5"/>
        <v>#N/A</v>
      </c>
    </row>
    <row r="29" spans="2:7">
      <c r="B29" t="e">
        <f t="shared" si="2"/>
        <v>#N/A</v>
      </c>
      <c r="C29" t="e">
        <f t="shared" si="3"/>
        <v>#N/A</v>
      </c>
      <c r="D29" t="e">
        <f t="shared" si="4"/>
        <v>#N/A</v>
      </c>
      <c r="E29" t="e">
        <f t="shared" si="5"/>
        <v>#N/A</v>
      </c>
    </row>
    <row r="30" spans="2:7">
      <c r="B30" t="e">
        <f t="shared" si="2"/>
        <v>#N/A</v>
      </c>
      <c r="C30" t="e">
        <f t="shared" si="3"/>
        <v>#N/A</v>
      </c>
      <c r="D30" t="e">
        <f t="shared" si="4"/>
        <v>#N/A</v>
      </c>
      <c r="E30" t="e">
        <f t="shared" si="5"/>
        <v>#N/A</v>
      </c>
    </row>
    <row r="31" spans="2:7">
      <c r="B31" t="e">
        <f t="shared" si="2"/>
        <v>#N/A</v>
      </c>
      <c r="C31" t="e">
        <f t="shared" si="3"/>
        <v>#N/A</v>
      </c>
      <c r="D31" t="e">
        <f t="shared" si="4"/>
        <v>#N/A</v>
      </c>
      <c r="E31" t="e">
        <f t="shared" si="5"/>
        <v>#N/A</v>
      </c>
    </row>
    <row r="32" spans="2:7">
      <c r="B32" t="e">
        <f t="shared" si="2"/>
        <v>#N/A</v>
      </c>
      <c r="C32" t="e">
        <f t="shared" si="3"/>
        <v>#N/A</v>
      </c>
      <c r="D32" t="e">
        <f t="shared" si="4"/>
        <v>#N/A</v>
      </c>
      <c r="E32" t="e">
        <f t="shared" si="5"/>
        <v>#N/A</v>
      </c>
    </row>
    <row r="33" spans="1:6">
      <c r="E33" s="1"/>
      <c r="F33" s="1"/>
    </row>
    <row r="34" spans="1:6">
      <c r="E34" s="1"/>
    </row>
    <row r="35" spans="1:6">
      <c r="E35" s="1"/>
    </row>
    <row r="36" spans="1:6">
      <c r="E36" s="1"/>
    </row>
    <row r="37" spans="1:6">
      <c r="E37" s="1"/>
    </row>
    <row r="38" spans="1:6">
      <c r="E38" s="1"/>
    </row>
    <row r="39" spans="1:6">
      <c r="E39" s="1"/>
    </row>
    <row r="40" spans="1:6">
      <c r="E40" s="1"/>
    </row>
    <row r="41" spans="1:6">
      <c r="A41" s="1"/>
      <c r="E41" s="1"/>
    </row>
    <row r="42" spans="1:6">
      <c r="A42" s="1"/>
    </row>
    <row r="43" spans="1:6">
      <c r="A43" s="1"/>
    </row>
    <row r="44" spans="1:6">
      <c r="A44" s="1"/>
    </row>
    <row r="45" spans="1:6">
      <c r="A45" s="1"/>
    </row>
    <row r="46" spans="1:6">
      <c r="A46" s="1"/>
    </row>
    <row r="47" spans="1:6">
      <c r="A47" s="1"/>
    </row>
    <row r="48" spans="1:6">
      <c r="A48" s="1"/>
    </row>
    <row r="49" spans="1:1">
      <c r="A49" s="1"/>
    </row>
    <row r="50" spans="1:1">
      <c r="A50" s="1"/>
    </row>
    <row r="51" spans="1:1">
      <c r="A51" s="1"/>
    </row>
    <row r="52" spans="1:1">
      <c r="A52" s="1"/>
    </row>
    <row r="53" spans="1:1">
      <c r="A53" s="1"/>
    </row>
    <row r="54" spans="1:1">
      <c r="A54" s="1"/>
    </row>
    <row r="55" spans="1:1">
      <c r="A55" s="1"/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16BCE-04C6-4FD8-882B-984974D9E643}">
  <sheetPr codeName="Sheet13"/>
  <dimension ref="A1:E3"/>
  <sheetViews>
    <sheetView workbookViewId="0"/>
  </sheetViews>
  <sheetFormatPr defaultRowHeight="15"/>
  <cols>
    <col min="1" max="1" width="24.5703125" bestFit="1" customWidth="1"/>
    <col min="2" max="2" width="21.28515625" bestFit="1" customWidth="1"/>
    <col min="3" max="3" width="22.5703125" bestFit="1" customWidth="1"/>
    <col min="4" max="4" width="13.5703125" bestFit="1" customWidth="1"/>
  </cols>
  <sheetData>
    <row r="1" spans="1:5">
      <c r="A1" s="1" t="s">
        <v>86</v>
      </c>
      <c r="B1" s="1" t="s">
        <v>1</v>
      </c>
      <c r="C1" s="4" t="s">
        <v>2</v>
      </c>
      <c r="D1" t="s">
        <v>35</v>
      </c>
      <c r="E1" s="1"/>
    </row>
    <row r="2" spans="1:5">
      <c r="A2" s="1" t="s">
        <v>10</v>
      </c>
      <c r="B2" s="1">
        <v>0.84971098265895995</v>
      </c>
      <c r="C2" s="1">
        <v>0.85641025641025603</v>
      </c>
      <c r="D2">
        <v>0.97655000000000003</v>
      </c>
      <c r="E2" s="1"/>
    </row>
    <row r="3" spans="1:5">
      <c r="A3" s="1" t="s">
        <v>11</v>
      </c>
      <c r="B3" s="1">
        <v>0.15028901734104</v>
      </c>
      <c r="C3" s="1">
        <v>0.143589743589744</v>
      </c>
      <c r="D3">
        <v>2.3449999999999999E-2</v>
      </c>
      <c r="E3" s="1"/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15C-6A06-466B-9BA9-6C341FE4ADB8}">
  <sheetPr codeName="Sheet14"/>
  <dimension ref="A1:E3"/>
  <sheetViews>
    <sheetView workbookViewId="0"/>
  </sheetViews>
  <sheetFormatPr defaultRowHeight="15"/>
  <cols>
    <col min="1" max="1" width="12.28515625" bestFit="1" customWidth="1"/>
    <col min="2" max="2" width="21.28515625" bestFit="1" customWidth="1"/>
    <col min="3" max="3" width="22.5703125" bestFit="1" customWidth="1"/>
    <col min="4" max="4" width="13.5703125" bestFit="1" customWidth="1"/>
  </cols>
  <sheetData>
    <row r="1" spans="1:5">
      <c r="A1" s="1" t="s">
        <v>87</v>
      </c>
      <c r="B1" s="1" t="s">
        <v>1</v>
      </c>
      <c r="C1" s="4" t="s">
        <v>2</v>
      </c>
      <c r="D1" t="s">
        <v>35</v>
      </c>
      <c r="E1" s="1"/>
    </row>
    <row r="2" spans="1:5">
      <c r="A2" s="1" t="s">
        <v>10</v>
      </c>
      <c r="B2" s="1">
        <v>0.39306358381502898</v>
      </c>
      <c r="C2" s="1">
        <v>0.30256410256410299</v>
      </c>
      <c r="D2">
        <v>0.60909999999999997</v>
      </c>
      <c r="E2" s="1"/>
    </row>
    <row r="3" spans="1:5">
      <c r="A3" s="1" t="s">
        <v>11</v>
      </c>
      <c r="B3" s="1">
        <v>0.60693641618497096</v>
      </c>
      <c r="C3" s="1">
        <v>0.69743589743589696</v>
      </c>
      <c r="D3">
        <v>0.39090000000000003</v>
      </c>
      <c r="E3" s="1"/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59FD6-E40D-4F50-83E1-6930F1EAFF2D}">
  <sheetPr codeName="Sheet15"/>
  <dimension ref="A1:E3"/>
  <sheetViews>
    <sheetView workbookViewId="0"/>
  </sheetViews>
  <sheetFormatPr defaultRowHeight="15"/>
  <cols>
    <col min="1" max="1" width="13.5703125" bestFit="1" customWidth="1"/>
    <col min="2" max="2" width="21.28515625" bestFit="1" customWidth="1"/>
    <col min="3" max="3" width="22.5703125" bestFit="1" customWidth="1"/>
    <col min="4" max="4" width="13.5703125" bestFit="1" customWidth="1"/>
  </cols>
  <sheetData>
    <row r="1" spans="1:5">
      <c r="A1" s="1" t="s">
        <v>88</v>
      </c>
      <c r="B1" s="1" t="s">
        <v>1</v>
      </c>
      <c r="C1" s="4" t="s">
        <v>2</v>
      </c>
      <c r="D1" t="s">
        <v>35</v>
      </c>
      <c r="E1" s="1"/>
    </row>
    <row r="2" spans="1:5">
      <c r="A2" s="1" t="s">
        <v>89</v>
      </c>
      <c r="B2" s="1">
        <v>3.7572254335260097E-2</v>
      </c>
      <c r="C2" s="1">
        <v>9.2307692307692299E-2</v>
      </c>
      <c r="D2">
        <v>3.8399999999999997E-2</v>
      </c>
      <c r="E2" s="1"/>
    </row>
    <row r="3" spans="1:5">
      <c r="A3" s="1" t="s">
        <v>90</v>
      </c>
      <c r="B3" s="1">
        <v>0.96242774566473999</v>
      </c>
      <c r="C3" s="1">
        <v>0.90769230769230802</v>
      </c>
      <c r="D3">
        <v>0.96160000000000001</v>
      </c>
      <c r="E3" s="1"/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2C3E1-06A8-4A19-925B-B778D5FA090C}">
  <sheetPr codeName="Sheet16"/>
  <dimension ref="A1:E45"/>
  <sheetViews>
    <sheetView workbookViewId="0"/>
  </sheetViews>
  <sheetFormatPr defaultRowHeight="15"/>
  <cols>
    <col min="1" max="1" width="31.85546875" bestFit="1" customWidth="1"/>
    <col min="2" max="2" width="21.28515625" bestFit="1" customWidth="1"/>
    <col min="3" max="3" width="22.5703125" bestFit="1" customWidth="1"/>
    <col min="4" max="4" width="13.5703125" bestFit="1" customWidth="1"/>
  </cols>
  <sheetData>
    <row r="1" spans="1:5">
      <c r="A1" s="1" t="s">
        <v>91</v>
      </c>
      <c r="B1" s="1" t="s">
        <v>1</v>
      </c>
      <c r="C1" s="5" t="s">
        <v>2</v>
      </c>
      <c r="D1" t="s">
        <v>35</v>
      </c>
      <c r="E1" s="1"/>
    </row>
    <row r="2" spans="1:5">
      <c r="A2" s="1" t="s">
        <v>92</v>
      </c>
      <c r="B2" s="1">
        <v>3.17919075144509E-2</v>
      </c>
      <c r="C2" s="1">
        <v>1.5384615384615399E-2</v>
      </c>
      <c r="D2">
        <v>9.9749999999999995E-3</v>
      </c>
      <c r="E2" s="1"/>
    </row>
    <row r="3" spans="1:5">
      <c r="A3" s="1" t="s">
        <v>93</v>
      </c>
      <c r="B3" s="1">
        <v>2.3121387283237E-2</v>
      </c>
      <c r="C3" s="1">
        <v>2.0512820512820499E-2</v>
      </c>
      <c r="D3">
        <v>0</v>
      </c>
      <c r="E3" s="1"/>
    </row>
    <row r="4" spans="1:5">
      <c r="A4" s="1" t="s">
        <v>94</v>
      </c>
      <c r="B4" s="1">
        <v>9.8265895953757204E-2</v>
      </c>
      <c r="C4" s="1">
        <v>8.2051282051282107E-2</v>
      </c>
      <c r="D4">
        <v>4.4650000000000002E-2</v>
      </c>
      <c r="E4" s="1"/>
    </row>
    <row r="5" spans="1:5">
      <c r="A5" s="1" t="s">
        <v>95</v>
      </c>
      <c r="B5" s="1">
        <v>0.11271676300578</v>
      </c>
      <c r="C5" s="1">
        <v>9.7435897435897395E-2</v>
      </c>
      <c r="D5">
        <v>7.6975000000000002E-2</v>
      </c>
      <c r="E5" s="1"/>
    </row>
    <row r="6" spans="1:5">
      <c r="A6" s="1" t="s">
        <v>96</v>
      </c>
      <c r="B6" s="1">
        <v>1.15606936416185E-2</v>
      </c>
      <c r="C6" s="1">
        <v>1.5384615384615399E-2</v>
      </c>
      <c r="D6">
        <v>0</v>
      </c>
      <c r="E6" s="1"/>
    </row>
    <row r="7" spans="1:5">
      <c r="A7" s="1" t="s">
        <v>97</v>
      </c>
      <c r="B7" s="1">
        <v>7.80346820809249E-2</v>
      </c>
      <c r="C7" s="1">
        <v>3.5897435897435902E-2</v>
      </c>
      <c r="D7">
        <v>0</v>
      </c>
      <c r="E7" s="1"/>
    </row>
    <row r="8" spans="1:5">
      <c r="A8" s="1" t="s">
        <v>98</v>
      </c>
      <c r="B8" s="1">
        <v>4.3352601156069398E-2</v>
      </c>
      <c r="C8" s="1">
        <v>3.5897435897435902E-2</v>
      </c>
      <c r="D8">
        <v>4.1149999999999999E-2</v>
      </c>
      <c r="E8" s="1"/>
    </row>
    <row r="9" spans="1:5">
      <c r="A9" s="1" t="s">
        <v>99</v>
      </c>
      <c r="B9" s="1">
        <v>2.0231213872832401E-2</v>
      </c>
      <c r="C9" s="1">
        <v>1.5384615384615399E-2</v>
      </c>
      <c r="D9">
        <v>0</v>
      </c>
      <c r="E9" s="1"/>
    </row>
    <row r="10" spans="1:5">
      <c r="A10" s="1" t="s">
        <v>100</v>
      </c>
      <c r="B10" s="1">
        <v>6.9364161849711004E-2</v>
      </c>
      <c r="C10" s="1">
        <v>7.69230769230769E-2</v>
      </c>
      <c r="D10">
        <v>2.7924999999999998E-2</v>
      </c>
      <c r="E10" s="1"/>
    </row>
    <row r="11" spans="1:5">
      <c r="A11" s="6" t="s">
        <v>101</v>
      </c>
      <c r="B11" s="6">
        <v>3.17919075144509E-2</v>
      </c>
      <c r="C11" s="6">
        <v>5.6410256410256397E-2</v>
      </c>
      <c r="D11" s="9">
        <v>1.2149999999999999E-2</v>
      </c>
      <c r="E11" s="1"/>
    </row>
    <row r="12" spans="1:5">
      <c r="A12" s="6" t="s">
        <v>96</v>
      </c>
      <c r="B12" s="6">
        <v>1.15606936416185E-2</v>
      </c>
      <c r="C12" s="6">
        <v>1.5384615384615399E-2</v>
      </c>
      <c r="D12" s="9">
        <v>0</v>
      </c>
      <c r="E12" s="1"/>
    </row>
    <row r="13" spans="1:5">
      <c r="A13" s="1" t="s">
        <v>84</v>
      </c>
      <c r="B13" s="1">
        <f>1-SUM(B2:B12)</f>
        <v>0.46820809248554929</v>
      </c>
      <c r="C13" s="1">
        <f>1-SUM(C2:C12)</f>
        <v>0.53333333333333344</v>
      </c>
      <c r="D13">
        <f>1-SUM(D2:D12)</f>
        <v>0.78717499999999996</v>
      </c>
      <c r="E13" s="1"/>
    </row>
    <row r="19" spans="2:2">
      <c r="B19" s="1"/>
    </row>
    <row r="35" spans="1:1">
      <c r="A35" s="1"/>
    </row>
    <row r="36" spans="1:1">
      <c r="A36" s="1"/>
    </row>
    <row r="37" spans="1:1">
      <c r="A37" s="1"/>
    </row>
    <row r="38" spans="1:1">
      <c r="A38" s="1"/>
    </row>
    <row r="39" spans="1:1">
      <c r="A39" s="1"/>
    </row>
    <row r="40" spans="1:1">
      <c r="A40" s="1"/>
    </row>
    <row r="41" spans="1:1">
      <c r="A41" s="1"/>
    </row>
    <row r="42" spans="1:1">
      <c r="A42" s="1"/>
    </row>
    <row r="43" spans="1:1">
      <c r="A43" s="1"/>
    </row>
    <row r="44" spans="1:1">
      <c r="A44" s="1"/>
    </row>
    <row r="45" spans="1:1">
      <c r="A45" s="1"/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1B98C-1648-40A3-9183-7BD63538432C}">
  <sheetPr codeName="Sheet23"/>
  <dimension ref="A1:E3"/>
  <sheetViews>
    <sheetView workbookViewId="0"/>
  </sheetViews>
  <sheetFormatPr defaultRowHeight="15"/>
  <cols>
    <col min="1" max="1" width="20.85546875" bestFit="1" customWidth="1"/>
    <col min="2" max="2" width="21.28515625" bestFit="1" customWidth="1"/>
    <col min="3" max="3" width="22.5703125" bestFit="1" customWidth="1"/>
    <col min="4" max="4" width="13.5703125" bestFit="1" customWidth="1"/>
  </cols>
  <sheetData>
    <row r="1" spans="1:5">
      <c r="A1" s="1" t="s">
        <v>102</v>
      </c>
      <c r="B1" s="1" t="s">
        <v>1</v>
      </c>
      <c r="C1" s="4" t="s">
        <v>2</v>
      </c>
      <c r="D1" t="s">
        <v>35</v>
      </c>
      <c r="E1" s="1"/>
    </row>
    <row r="2" spans="1:5">
      <c r="A2" s="1" t="s">
        <v>10</v>
      </c>
      <c r="B2" s="1">
        <v>0.96531791907514497</v>
      </c>
      <c r="C2" s="1">
        <v>0.95384615384615401</v>
      </c>
      <c r="D2">
        <v>0.63429999999999997</v>
      </c>
      <c r="E2" s="1"/>
    </row>
    <row r="3" spans="1:5">
      <c r="A3" s="1" t="s">
        <v>11</v>
      </c>
      <c r="B3" s="1">
        <v>3.4682080924855502E-2</v>
      </c>
      <c r="C3" s="1">
        <v>4.6153846153846198E-2</v>
      </c>
      <c r="D3">
        <v>0.36570000000000003</v>
      </c>
      <c r="E3" s="1"/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D49475-5FAD-4AFF-A468-6AAD9E749E52}">
  <sheetPr codeName="Sheet17"/>
  <dimension ref="A1:D12"/>
  <sheetViews>
    <sheetView workbookViewId="0"/>
  </sheetViews>
  <sheetFormatPr defaultColWidth="9" defaultRowHeight="15"/>
  <cols>
    <col min="1" max="1" width="22.5703125" style="2" bestFit="1" customWidth="1"/>
    <col min="2" max="2" width="21.28515625" style="2" bestFit="1" customWidth="1"/>
    <col min="3" max="3" width="22.5703125" style="2" bestFit="1" customWidth="1"/>
    <col min="4" max="4" width="13.5703125" style="7" bestFit="1" customWidth="1"/>
    <col min="5" max="5" width="13.5703125" style="2" customWidth="1"/>
    <col min="6" max="16384" width="9" style="2"/>
  </cols>
  <sheetData>
    <row r="1" spans="1:4">
      <c r="A1" s="2" t="s">
        <v>103</v>
      </c>
      <c r="B1" s="2" t="s">
        <v>1</v>
      </c>
      <c r="C1" s="2" t="s">
        <v>2</v>
      </c>
      <c r="D1" s="7" t="s">
        <v>35</v>
      </c>
    </row>
    <row r="2" spans="1:4">
      <c r="A2" s="2" t="s">
        <v>13</v>
      </c>
      <c r="B2" s="2">
        <v>2.8901734104046201E-2</v>
      </c>
      <c r="C2" s="2">
        <v>3.5897435897435902E-2</v>
      </c>
      <c r="D2" s="7">
        <v>0.16022500000000001</v>
      </c>
    </row>
    <row r="3" spans="1:4">
      <c r="A3" s="2" t="s">
        <v>104</v>
      </c>
      <c r="B3" s="2">
        <v>2.0231213872832401E-2</v>
      </c>
      <c r="C3" s="2">
        <v>1.5384615384615399E-2</v>
      </c>
      <c r="D3" s="7">
        <v>0</v>
      </c>
    </row>
    <row r="4" spans="1:4">
      <c r="A4" s="2" t="s">
        <v>105</v>
      </c>
      <c r="B4" s="2">
        <v>3.17919075144509E-2</v>
      </c>
      <c r="C4" s="2">
        <v>2.0512820512820499E-2</v>
      </c>
      <c r="D4" s="7">
        <v>0</v>
      </c>
    </row>
    <row r="5" spans="1:4">
      <c r="A5" s="2" t="s">
        <v>106</v>
      </c>
      <c r="B5" s="2">
        <v>1.15606936416185E-2</v>
      </c>
      <c r="C5" s="2">
        <v>2.5641025641025599E-2</v>
      </c>
      <c r="D5" s="7">
        <v>0</v>
      </c>
    </row>
    <row r="6" spans="1:4">
      <c r="A6" s="2" t="s">
        <v>107</v>
      </c>
      <c r="B6" s="2">
        <v>5.78034682080925E-3</v>
      </c>
      <c r="C6" s="2">
        <v>1.02564102564103E-2</v>
      </c>
      <c r="D6" s="7">
        <v>0</v>
      </c>
    </row>
    <row r="7" spans="1:4">
      <c r="A7" s="2" t="s">
        <v>108</v>
      </c>
      <c r="B7" s="2">
        <v>1.44508670520231E-2</v>
      </c>
      <c r="C7" s="2">
        <v>1.02564102564103E-2</v>
      </c>
      <c r="D7" s="7">
        <v>0</v>
      </c>
    </row>
    <row r="8" spans="1:4">
      <c r="A8" s="2" t="s">
        <v>109</v>
      </c>
      <c r="B8" s="2">
        <v>8.6705202312138699E-2</v>
      </c>
      <c r="C8" s="2">
        <v>0.107692307692308</v>
      </c>
      <c r="D8" s="7">
        <v>3.5499999999999997E-2</v>
      </c>
    </row>
    <row r="9" spans="1:4">
      <c r="A9" s="2" t="s">
        <v>110</v>
      </c>
      <c r="B9" s="2">
        <v>2.0231213872832401E-2</v>
      </c>
      <c r="C9" s="2">
        <v>1.5384615384615399E-2</v>
      </c>
      <c r="D9" s="7">
        <v>5.5750000000000001E-3</v>
      </c>
    </row>
    <row r="10" spans="1:4">
      <c r="A10" s="2" t="s">
        <v>111</v>
      </c>
      <c r="B10" s="2">
        <v>1.44508670520231E-2</v>
      </c>
      <c r="C10" s="2">
        <v>2.0512820512820499E-2</v>
      </c>
      <c r="D10" s="7">
        <v>0</v>
      </c>
    </row>
    <row r="11" spans="1:4">
      <c r="A11" s="2" t="s">
        <v>112</v>
      </c>
      <c r="B11" s="2">
        <v>1.15606936416185E-2</v>
      </c>
      <c r="C11" s="2">
        <v>0</v>
      </c>
      <c r="D11" s="7">
        <v>6.3E-3</v>
      </c>
    </row>
    <row r="12" spans="1:4">
      <c r="A12" s="2" t="s">
        <v>84</v>
      </c>
      <c r="B12" s="2">
        <f>1-SUM(B2:B11)</f>
        <v>0.75433526011560703</v>
      </c>
      <c r="C12" s="2">
        <f>1-SUM(C2:C11)</f>
        <v>0.73846153846153806</v>
      </c>
      <c r="D12" s="7">
        <f>1-SUM(D2:D11)</f>
        <v>0.79239999999999999</v>
      </c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2D866-6906-48E9-872B-AD105C8182FB}">
  <sheetPr codeName="Sheet18"/>
  <dimension ref="A1:E3"/>
  <sheetViews>
    <sheetView workbookViewId="0"/>
  </sheetViews>
  <sheetFormatPr defaultRowHeight="15"/>
  <cols>
    <col min="1" max="1" width="20.28515625" bestFit="1" customWidth="1"/>
    <col min="2" max="2" width="21.28515625" bestFit="1" customWidth="1"/>
    <col min="3" max="3" width="22.5703125" bestFit="1" customWidth="1"/>
    <col min="4" max="4" width="13.5703125" bestFit="1" customWidth="1"/>
  </cols>
  <sheetData>
    <row r="1" spans="1:5">
      <c r="A1" s="1" t="s">
        <v>113</v>
      </c>
      <c r="B1" s="1" t="s">
        <v>1</v>
      </c>
      <c r="C1" s="4" t="s">
        <v>2</v>
      </c>
      <c r="D1" t="s">
        <v>35</v>
      </c>
      <c r="E1" s="1"/>
    </row>
    <row r="2" spans="1:5">
      <c r="A2" s="1" t="s">
        <v>10</v>
      </c>
      <c r="B2" s="1">
        <v>0.93352601156069404</v>
      </c>
      <c r="C2" s="1">
        <v>0.95384615384615401</v>
      </c>
      <c r="D2">
        <v>0.93115000000000003</v>
      </c>
      <c r="E2" s="1"/>
    </row>
    <row r="3" spans="1:5">
      <c r="A3" s="1" t="s">
        <v>11</v>
      </c>
      <c r="B3" s="1">
        <v>6.6473988439306395E-2</v>
      </c>
      <c r="C3" s="1">
        <v>4.6153846153846198E-2</v>
      </c>
      <c r="D3">
        <v>6.8849999999999995E-2</v>
      </c>
      <c r="E3" s="1"/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56CA2-2F7B-40AD-BA50-CDC23D04996A}">
  <sheetPr codeName="Sheet19"/>
  <dimension ref="A1:E12"/>
  <sheetViews>
    <sheetView workbookViewId="0"/>
  </sheetViews>
  <sheetFormatPr defaultRowHeight="15"/>
  <cols>
    <col min="1" max="1" width="14" bestFit="1" customWidth="1"/>
    <col min="2" max="2" width="21.28515625" bestFit="1" customWidth="1"/>
    <col min="3" max="3" width="22.5703125" bestFit="1" customWidth="1"/>
    <col min="4" max="4" width="13.5703125" bestFit="1" customWidth="1"/>
  </cols>
  <sheetData>
    <row r="1" spans="1:5">
      <c r="A1" s="1" t="s">
        <v>114</v>
      </c>
      <c r="B1" s="1" t="s">
        <v>1</v>
      </c>
      <c r="C1" s="4" t="s">
        <v>2</v>
      </c>
      <c r="D1" t="s">
        <v>35</v>
      </c>
      <c r="E1" s="1"/>
    </row>
    <row r="2" spans="1:5">
      <c r="A2" s="1" t="s">
        <v>13</v>
      </c>
      <c r="B2" s="1">
        <v>0.190751445086705</v>
      </c>
      <c r="C2" s="1">
        <v>0.15897435897435899</v>
      </c>
      <c r="D2">
        <v>0.13325000000000001</v>
      </c>
      <c r="E2" s="1"/>
    </row>
    <row r="3" spans="1:5">
      <c r="A3" s="1" t="s">
        <v>115</v>
      </c>
      <c r="B3" s="1">
        <v>3.17919075144509E-2</v>
      </c>
      <c r="C3" s="1">
        <v>2.5641025641025599E-2</v>
      </c>
      <c r="D3">
        <v>7.4274999999999994E-2</v>
      </c>
      <c r="E3" s="1"/>
    </row>
    <row r="4" spans="1:5">
      <c r="A4" s="1" t="s">
        <v>116</v>
      </c>
      <c r="B4" s="1">
        <v>7.2254335260115599E-2</v>
      </c>
      <c r="C4" s="1">
        <v>6.6666666666666693E-2</v>
      </c>
      <c r="D4">
        <v>0.10174999999999999</v>
      </c>
      <c r="E4" s="1"/>
    </row>
    <row r="5" spans="1:5">
      <c r="A5" s="1" t="s">
        <v>117</v>
      </c>
      <c r="B5" s="1">
        <v>6.6473988439306395E-2</v>
      </c>
      <c r="C5" s="1">
        <v>7.1794871794871803E-2</v>
      </c>
      <c r="D5">
        <v>7.3175000000000004E-2</v>
      </c>
      <c r="E5" s="1"/>
    </row>
    <row r="6" spans="1:5">
      <c r="A6" s="1" t="s">
        <v>118</v>
      </c>
      <c r="B6" s="1">
        <v>7.80346820809249E-2</v>
      </c>
      <c r="C6" s="1">
        <v>5.6410256410256397E-2</v>
      </c>
      <c r="D6">
        <v>8.8474999999999998E-2</v>
      </c>
      <c r="E6" s="1"/>
    </row>
    <row r="7" spans="1:5">
      <c r="A7" s="1" t="s">
        <v>119</v>
      </c>
      <c r="B7" s="1">
        <v>6.3583815028901702E-2</v>
      </c>
      <c r="C7" s="1">
        <v>8.2051282051282107E-2</v>
      </c>
      <c r="D7">
        <v>0.10675</v>
      </c>
      <c r="E7" s="1"/>
    </row>
    <row r="8" spans="1:5">
      <c r="A8" s="1" t="s">
        <v>120</v>
      </c>
      <c r="B8" s="1">
        <v>6.6473988439306395E-2</v>
      </c>
      <c r="C8" s="1">
        <v>6.15384615384615E-2</v>
      </c>
      <c r="D8">
        <v>9.6574999999999994E-2</v>
      </c>
      <c r="E8" s="1"/>
    </row>
    <row r="9" spans="1:5">
      <c r="A9" s="1" t="s">
        <v>121</v>
      </c>
      <c r="B9" s="1">
        <v>8.3815028901734104E-2</v>
      </c>
      <c r="C9" s="1">
        <v>7.69230769230769E-2</v>
      </c>
      <c r="D9">
        <v>7.5075000000000003E-2</v>
      </c>
      <c r="E9" s="1"/>
    </row>
    <row r="10" spans="1:5">
      <c r="A10" s="1" t="s">
        <v>122</v>
      </c>
      <c r="B10" s="1">
        <v>0.10404624277456601</v>
      </c>
      <c r="C10" s="1">
        <v>0.143589743589744</v>
      </c>
      <c r="D10">
        <v>8.4324999999999997E-2</v>
      </c>
      <c r="E10" s="1"/>
    </row>
    <row r="11" spans="1:5">
      <c r="A11" s="1" t="s">
        <v>123</v>
      </c>
      <c r="B11" s="1">
        <v>0.135838150289017</v>
      </c>
      <c r="C11" s="1">
        <v>0.15384615384615399</v>
      </c>
      <c r="D11">
        <v>8.7374999999999994E-2</v>
      </c>
      <c r="E11" s="1"/>
    </row>
    <row r="12" spans="1:5">
      <c r="A12" s="1" t="s">
        <v>124</v>
      </c>
      <c r="B12" s="1">
        <v>0.106936416184971</v>
      </c>
      <c r="C12" s="1">
        <v>0.102564102564103</v>
      </c>
      <c r="D12">
        <v>7.8975000000000004E-2</v>
      </c>
      <c r="E12" s="1"/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FBFA0A6C77105448D0B706BB948574C" ma:contentTypeVersion="9" ma:contentTypeDescription="Create a new document." ma:contentTypeScope="" ma:versionID="0110a03da2dbcef0defe2f48cf5d4a09">
  <xsd:schema xmlns:xsd="http://www.w3.org/2001/XMLSchema" xmlns:xs="http://www.w3.org/2001/XMLSchema" xmlns:p="http://schemas.microsoft.com/office/2006/metadata/properties" xmlns:ns2="147ecf7f-6afe-4e97-9a4f-a9854502158c" xmlns:ns3="2cc369a8-1229-4517-99d0-80653d849879" targetNamespace="http://schemas.microsoft.com/office/2006/metadata/properties" ma:root="true" ma:fieldsID="ea6741a758a6b3d930c3abde02441e8c" ns2:_="" ns3:_="">
    <xsd:import namespace="147ecf7f-6afe-4e97-9a4f-a9854502158c"/>
    <xsd:import namespace="2cc369a8-1229-4517-99d0-80653d84987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47ecf7f-6afe-4e97-9a4f-a9854502158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cc369a8-1229-4517-99d0-80653d849879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82C5A1A-876B-4509-97CD-9C44783EAC05}"/>
</file>

<file path=customXml/itemProps2.xml><?xml version="1.0" encoding="utf-8"?>
<ds:datastoreItem xmlns:ds="http://schemas.openxmlformats.org/officeDocument/2006/customXml" ds:itemID="{6F950424-D3FC-4E4D-9136-38DF2F5EDBD7}"/>
</file>

<file path=customXml/itemProps3.xml><?xml version="1.0" encoding="utf-8"?>
<ds:datastoreItem xmlns:ds="http://schemas.openxmlformats.org/officeDocument/2006/customXml" ds:itemID="{DD148132-A845-45EE-BD7C-53C758D7C3B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Ball Horticultural Company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Hu, Xiaolei</dc:creator>
  <cp:keywords/>
  <dc:description/>
  <cp:lastModifiedBy>Ben Polzin</cp:lastModifiedBy>
  <cp:revision/>
  <dcterms:created xsi:type="dcterms:W3CDTF">2018-01-22T15:16:58Z</dcterms:created>
  <dcterms:modified xsi:type="dcterms:W3CDTF">2022-03-23T22:11:44Z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0x0101004FBFA0A6C77105448D0B706BB948574C</vt:lpwstr>
  </property>
</Properties>
</file>